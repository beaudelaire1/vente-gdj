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me\OneDrive\Bureau\"/>
    </mc:Choice>
  </mc:AlternateContent>
  <xr:revisionPtr revIDLastSave="0" documentId="13_ncr:1_{4C36C33F-ACFD-4E44-9317-070253634F16}" xr6:coauthVersionLast="47" xr6:coauthVersionMax="47" xr10:uidLastSave="{00000000-0000-0000-0000-000000000000}"/>
  <bookViews>
    <workbookView xWindow="440" yWindow="0" windowWidth="19120" windowHeight="10890" xr2:uid="{1FCDB7B4-4469-4F7D-9C25-BA35C13AEA4C}"/>
  </bookViews>
  <sheets>
    <sheet name="inscrits" sheetId="1" r:id="rId1"/>
    <sheet name="Feuil3" sheetId="3" r:id="rId2"/>
    <sheet name="paramètres" sheetId="2" r:id="rId3"/>
  </sheets>
  <definedNames>
    <definedName name="accomp">paramètres!$C$3:$C$7</definedName>
    <definedName name="forfait">paramètres!$G$3:$G$4</definedName>
    <definedName name="legume">paramètres!$K$3:$K$4</definedName>
    <definedName name="paiement">paramètres!$I$3:$I$5</definedName>
    <definedName name="type">paramètres!$E$3:$E$4</definedName>
    <definedName name="viande">paramètres!$A$3:$A$6</definedName>
  </definedName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3" i="1"/>
  <c r="C114" i="1"/>
  <c r="J52" i="1"/>
  <c r="J60" i="1"/>
  <c r="J68" i="1"/>
  <c r="J84" i="1"/>
  <c r="H3" i="1"/>
  <c r="J3" i="1" s="1"/>
  <c r="H2" i="1"/>
  <c r="J2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J25" i="1"/>
  <c r="J26" i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1" i="1"/>
  <c r="J61" i="1" s="1"/>
  <c r="H62" i="1"/>
  <c r="J62" i="1" s="1"/>
  <c r="H63" i="1"/>
  <c r="J63" i="1" s="1"/>
  <c r="J64" i="1"/>
  <c r="J65" i="1"/>
  <c r="J66" i="1"/>
  <c r="H67" i="1"/>
  <c r="J67" i="1" s="1"/>
  <c r="J69" i="1"/>
  <c r="J70" i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J1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Beaudelaire Vilmé</author>
  </authors>
  <commentList>
    <comment ref="D61" authorId="0" shapeId="0" xr:uid="{91F3AF2F-0B9F-45B9-97C9-094E45779EB7}">
      <text>
        <r>
          <rPr>
            <b/>
            <sz val="9"/>
            <color indexed="81"/>
            <rFont val="Tahoma"/>
            <charset val="1"/>
          </rPr>
          <t>Beaudelaire Vilmé:</t>
        </r>
        <r>
          <rPr>
            <sz val="9"/>
            <color indexed="81"/>
            <rFont val="Tahoma"/>
            <charset val="1"/>
          </rPr>
          <t xml:space="preserve">
Haricot vert supplémentaire
</t>
        </r>
      </text>
    </comment>
    <comment ref="E64" authorId="0" shapeId="0" xr:uid="{3C75AAA3-8110-4D0F-8463-DC36739ADF44}">
      <text>
        <r>
          <rPr>
            <b/>
            <sz val="9"/>
            <color indexed="81"/>
            <rFont val="Tahoma"/>
            <charset val="1"/>
          </rPr>
          <t>Beaudelaire Vilmé:</t>
        </r>
        <r>
          <rPr>
            <sz val="9"/>
            <color indexed="81"/>
            <rFont val="Tahoma"/>
            <charset val="1"/>
          </rPr>
          <t xml:space="preserve">
gratin de banane supplémentaire</t>
        </r>
      </text>
    </comment>
    <comment ref="E66" authorId="0" shapeId="0" xr:uid="{9E23250F-0439-4130-886C-065E38794D64}">
      <text>
        <r>
          <rPr>
            <b/>
            <sz val="9"/>
            <color indexed="81"/>
            <rFont val="Tahoma"/>
            <charset val="1"/>
          </rPr>
          <t>Beaudelaire Vilmé:</t>
        </r>
        <r>
          <rPr>
            <sz val="9"/>
            <color indexed="81"/>
            <rFont val="Tahoma"/>
            <charset val="1"/>
          </rPr>
          <t xml:space="preserve">
Haricot vert supplémentaire</t>
        </r>
      </text>
    </comment>
  </commentList>
</comments>
</file>

<file path=xl/sharedStrings.xml><?xml version="1.0" encoding="utf-8"?>
<sst xmlns="http://schemas.openxmlformats.org/spreadsheetml/2006/main" count="569" uniqueCount="96">
  <si>
    <t>Nom complet</t>
  </si>
  <si>
    <t>Viande</t>
  </si>
  <si>
    <t>Accompagnement</t>
  </si>
  <si>
    <t>Type</t>
  </si>
  <si>
    <t>Paiement</t>
  </si>
  <si>
    <t>Tarif</t>
  </si>
  <si>
    <t>Bœuf</t>
  </si>
  <si>
    <t>Travers de Porc</t>
  </si>
  <si>
    <t>poulet fricassé</t>
  </si>
  <si>
    <t>Crevette sauce poivrée</t>
  </si>
  <si>
    <t>Viandes</t>
  </si>
  <si>
    <t>Gratin de Banane</t>
  </si>
  <si>
    <t>Haricot vert</t>
  </si>
  <si>
    <t>Calalou</t>
  </si>
  <si>
    <t>Riz blanc haricot</t>
  </si>
  <si>
    <t>Sur place</t>
  </si>
  <si>
    <t>A emporter</t>
  </si>
  <si>
    <t>Forfait</t>
  </si>
  <si>
    <t>famille</t>
  </si>
  <si>
    <t>Individuel</t>
  </si>
  <si>
    <t>Non Payé</t>
  </si>
  <si>
    <t>Payé monnaie en attente</t>
  </si>
  <si>
    <t>Payé</t>
  </si>
  <si>
    <t>Nb personnes</t>
  </si>
  <si>
    <t>Famille Baman</t>
  </si>
  <si>
    <t>Famille Cléante</t>
  </si>
  <si>
    <t>Prix</t>
  </si>
  <si>
    <t>Gaspard Daphose</t>
  </si>
  <si>
    <t>Gaspard Byalone</t>
  </si>
  <si>
    <t>Riz collé</t>
  </si>
  <si>
    <t>Total</t>
  </si>
  <si>
    <t>Evelyne</t>
  </si>
  <si>
    <t>Rosina</t>
  </si>
  <si>
    <t>Dorval Mamouna</t>
  </si>
  <si>
    <t>Bossé Tiroulio</t>
  </si>
  <si>
    <t>Merena</t>
  </si>
  <si>
    <t>Famille Jacotin</t>
  </si>
  <si>
    <t>Jonas</t>
  </si>
  <si>
    <t>Judith</t>
  </si>
  <si>
    <t>Légume</t>
  </si>
  <si>
    <t>calalou</t>
  </si>
  <si>
    <t>Légumes</t>
  </si>
  <si>
    <t>Fr Gabriel</t>
  </si>
  <si>
    <t>Sr Gabriel</t>
  </si>
  <si>
    <t>Fr Doisy</t>
  </si>
  <si>
    <t>sr Doisy</t>
  </si>
  <si>
    <t>Sr Mervil</t>
  </si>
  <si>
    <t>Marenn Pierre Louis</t>
  </si>
  <si>
    <t>Pierre Louis</t>
  </si>
  <si>
    <t>Tamara 2</t>
  </si>
  <si>
    <t>Tamara 3</t>
  </si>
  <si>
    <t>Tamara 4</t>
  </si>
  <si>
    <t>Tamara 5</t>
  </si>
  <si>
    <t>Tamara 6</t>
  </si>
  <si>
    <t>Mode</t>
  </si>
  <si>
    <t>Famille Tamara</t>
  </si>
  <si>
    <t>Famille Artiste</t>
  </si>
  <si>
    <t>Sr maricoise</t>
  </si>
  <si>
    <t>Famille Julien</t>
  </si>
  <si>
    <t>Fr Laurent</t>
  </si>
  <si>
    <t>Sr Laurent</t>
  </si>
  <si>
    <t>Famille Léa</t>
  </si>
  <si>
    <t>sr Petit frère</t>
  </si>
  <si>
    <t>Moricia</t>
  </si>
  <si>
    <t>Odette</t>
  </si>
  <si>
    <t>Sr Françoise</t>
  </si>
  <si>
    <t>sr Toussaint</t>
  </si>
  <si>
    <t>Roseline</t>
  </si>
  <si>
    <t>Marie Carnouche</t>
  </si>
  <si>
    <t>Raymonde</t>
  </si>
  <si>
    <t>Famille Georges</t>
  </si>
  <si>
    <t>Serina</t>
  </si>
  <si>
    <t>Beaudelaire</t>
  </si>
  <si>
    <t>Marcelin Chaarlie</t>
  </si>
  <si>
    <t>Claunette</t>
  </si>
  <si>
    <t>Pierre Laurole</t>
  </si>
  <si>
    <t>Margarette</t>
  </si>
  <si>
    <t>Mathias</t>
  </si>
  <si>
    <t>Gladys</t>
  </si>
  <si>
    <t>Lacia</t>
  </si>
  <si>
    <t>Clozel</t>
  </si>
  <si>
    <t>Edwin</t>
  </si>
  <si>
    <t xml:space="preserve">Gina </t>
  </si>
  <si>
    <t>Ocema</t>
  </si>
  <si>
    <t>Eloise Bruno</t>
  </si>
  <si>
    <t>Lézimène</t>
  </si>
  <si>
    <t xml:space="preserve">Chloé </t>
  </si>
  <si>
    <t>Mr Bruno</t>
  </si>
  <si>
    <t>Madame Bruno</t>
  </si>
  <si>
    <t>Madcène</t>
  </si>
  <si>
    <t>Madina</t>
  </si>
  <si>
    <t>Ticket</t>
  </si>
  <si>
    <t>(vide)</t>
  </si>
  <si>
    <t>Total général</t>
  </si>
  <si>
    <t>Somme de Nb personnes</t>
  </si>
  <si>
    <t>Étiquettes de colonnes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</si>
</sst>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\ &quot;€&quot;"/>
    <numFmt numFmtId="166" formatCode="000"/>
  </numFmts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3">
    <dxf>
      <numFmt numFmtId="165" formatCode="#,##0.00\ &quot;€&quot;"/>
    </dxf>
    <dxf>
      <numFmt numFmtId="165" formatCode="#,##0.00\ &quot;€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udelaire Vilmé" refreshedDate="46098.000836805557" createdVersion="8" refreshedVersion="8" minRefreshableVersion="3" recordCount="75" xr:uid="{83BE5936-0655-4AA0-BB7F-CCB29842D8D3}">
  <cacheSource type="worksheet">
    <worksheetSource ref="A1:K76" sheet="inscrits"/>
  </cacheSource>
  <cacheFields count="11">
    <cacheField name="Nom complet" numFmtId="0">
      <sharedItems/>
    </cacheField>
    <cacheField name="Forfait" numFmtId="0">
      <sharedItems count="2">
        <s v="famille"/>
        <s v="Individuel"/>
      </sharedItems>
    </cacheField>
    <cacheField name="Nb personnes" numFmtId="0">
      <sharedItems containsString="0" containsBlank="1" containsNumber="1" containsInteger="1" minValue="1" maxValue="7"/>
    </cacheField>
    <cacheField name="Viande" numFmtId="0">
      <sharedItems containsBlank="1" count="5">
        <s v="Bœuf"/>
        <s v="poulet fricassé"/>
        <s v="Crevette sauce poivrée"/>
        <s v="Travers de Porc"/>
        <m/>
      </sharedItems>
    </cacheField>
    <cacheField name="Accompagnement" numFmtId="0">
      <sharedItems containsBlank="1" count="4">
        <s v="Riz blanc haricot"/>
        <s v="Riz collé"/>
        <s v="Gratin de Banane"/>
        <m/>
      </sharedItems>
    </cacheField>
    <cacheField name="Légume" numFmtId="0">
      <sharedItems containsBlank="1" count="2">
        <m/>
        <s v="calalou"/>
      </sharedItems>
    </cacheField>
    <cacheField name="Type" numFmtId="0">
      <sharedItems containsBlank="1" count="3">
        <s v="Sur place"/>
        <s v="A emporter"/>
        <m u="1"/>
      </sharedItems>
    </cacheField>
    <cacheField name="Prix" numFmtId="0">
      <sharedItems containsSemiMixedTypes="0" containsString="0" containsNumber="1" containsInteger="1" minValue="0" maxValue="20"/>
    </cacheField>
    <cacheField name="Paiement" numFmtId="0">
      <sharedItems/>
    </cacheField>
    <cacheField name="Tarif" numFmtId="165">
      <sharedItems containsSemiMixedTypes="0" containsString="0" containsNumber="1" containsInteger="1" minValue="0" maxValue="119"/>
    </cacheField>
    <cacheField name="Ticket" numFmtId="166">
      <sharedItems containsSemiMixedTypes="0" containsString="0" containsNumber="1" containsInteger="1" minValue="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Famille Baman"/>
    <x v="0"/>
    <n v="5"/>
    <x v="0"/>
    <x v="0"/>
    <x v="0"/>
    <x v="0"/>
    <n v="20"/>
    <s v="Non Payé"/>
    <n v="85"/>
    <n v="1"/>
  </r>
  <r>
    <s v="Famille Cléante"/>
    <x v="0"/>
    <n v="3"/>
    <x v="1"/>
    <x v="0"/>
    <x v="0"/>
    <x v="1"/>
    <n v="15"/>
    <s v="Non Payé"/>
    <n v="45"/>
    <n v="2"/>
  </r>
  <r>
    <s v="Gaspard Daphose"/>
    <x v="1"/>
    <n v="1"/>
    <x v="2"/>
    <x v="1"/>
    <x v="0"/>
    <x v="0"/>
    <n v="20"/>
    <s v="Non Payé"/>
    <n v="20"/>
    <n v="3"/>
  </r>
  <r>
    <s v="Gaspard Byalone"/>
    <x v="1"/>
    <n v="1"/>
    <x v="2"/>
    <x v="2"/>
    <x v="0"/>
    <x v="0"/>
    <n v="20"/>
    <s v="Non Payé"/>
    <n v="20"/>
    <n v="4"/>
  </r>
  <r>
    <s v="Evelyne"/>
    <x v="1"/>
    <n v="1"/>
    <x v="0"/>
    <x v="1"/>
    <x v="0"/>
    <x v="1"/>
    <n v="15"/>
    <s v="Non Payé"/>
    <n v="15"/>
    <n v="5"/>
  </r>
  <r>
    <s v="Rosina"/>
    <x v="1"/>
    <n v="1"/>
    <x v="1"/>
    <x v="0"/>
    <x v="0"/>
    <x v="0"/>
    <n v="20"/>
    <s v="Non Payé"/>
    <n v="20"/>
    <n v="6"/>
  </r>
  <r>
    <s v="Dorval Mamouna"/>
    <x v="1"/>
    <n v="1"/>
    <x v="3"/>
    <x v="1"/>
    <x v="0"/>
    <x v="0"/>
    <n v="20"/>
    <s v="Non Payé"/>
    <n v="20"/>
    <n v="7"/>
  </r>
  <r>
    <s v="Bossé Tiroulio"/>
    <x v="1"/>
    <n v="1"/>
    <x v="2"/>
    <x v="1"/>
    <x v="0"/>
    <x v="0"/>
    <n v="20"/>
    <s v="Non Payé"/>
    <n v="20"/>
    <n v="8"/>
  </r>
  <r>
    <s v="Merena"/>
    <x v="1"/>
    <n v="1"/>
    <x v="1"/>
    <x v="0"/>
    <x v="1"/>
    <x v="0"/>
    <n v="20"/>
    <s v="Non Payé"/>
    <n v="20"/>
    <n v="9"/>
  </r>
  <r>
    <s v="Famille Jacotin"/>
    <x v="0"/>
    <n v="3"/>
    <x v="0"/>
    <x v="1"/>
    <x v="0"/>
    <x v="0"/>
    <n v="20"/>
    <s v="Non Payé"/>
    <n v="60"/>
    <n v="10"/>
  </r>
  <r>
    <s v="Jonas"/>
    <x v="1"/>
    <n v="1"/>
    <x v="2"/>
    <x v="1"/>
    <x v="0"/>
    <x v="0"/>
    <n v="20"/>
    <s v="Non Payé"/>
    <n v="20"/>
    <n v="11"/>
  </r>
  <r>
    <s v="Judith"/>
    <x v="1"/>
    <n v="1"/>
    <x v="1"/>
    <x v="2"/>
    <x v="0"/>
    <x v="0"/>
    <n v="20"/>
    <s v="Non Payé"/>
    <n v="20"/>
    <n v="12"/>
  </r>
  <r>
    <s v="Fr Gabriel"/>
    <x v="1"/>
    <n v="1"/>
    <x v="0"/>
    <x v="3"/>
    <x v="0"/>
    <x v="0"/>
    <n v="20"/>
    <s v="Non Payé"/>
    <n v="20"/>
    <n v="13"/>
  </r>
  <r>
    <s v="Sr Gabriel"/>
    <x v="1"/>
    <n v="1"/>
    <x v="1"/>
    <x v="3"/>
    <x v="0"/>
    <x v="0"/>
    <n v="20"/>
    <s v="Non Payé"/>
    <n v="20"/>
    <n v="14"/>
  </r>
  <r>
    <s v="Fr Doisy"/>
    <x v="1"/>
    <n v="1"/>
    <x v="2"/>
    <x v="3"/>
    <x v="0"/>
    <x v="0"/>
    <n v="20"/>
    <s v="Non Payé"/>
    <n v="20"/>
    <n v="15"/>
  </r>
  <r>
    <s v="sr Doisy"/>
    <x v="1"/>
    <n v="1"/>
    <x v="0"/>
    <x v="3"/>
    <x v="1"/>
    <x v="0"/>
    <n v="20"/>
    <s v="Non Payé"/>
    <n v="20"/>
    <n v="16"/>
  </r>
  <r>
    <s v="Sr Mervil"/>
    <x v="1"/>
    <n v="1"/>
    <x v="1"/>
    <x v="3"/>
    <x v="0"/>
    <x v="0"/>
    <n v="20"/>
    <s v="Non Payé"/>
    <n v="20"/>
    <n v="17"/>
  </r>
  <r>
    <s v="Marenn Pierre Louis"/>
    <x v="1"/>
    <n v="1"/>
    <x v="0"/>
    <x v="1"/>
    <x v="0"/>
    <x v="0"/>
    <n v="20"/>
    <s v="Non Payé"/>
    <n v="20"/>
    <n v="18"/>
  </r>
  <r>
    <s v="Pierre Louis"/>
    <x v="1"/>
    <n v="1"/>
    <x v="0"/>
    <x v="0"/>
    <x v="1"/>
    <x v="0"/>
    <n v="20"/>
    <s v="Non Payé"/>
    <n v="20"/>
    <n v="19"/>
  </r>
  <r>
    <s v="Famille Tamara"/>
    <x v="0"/>
    <n v="4"/>
    <x v="0"/>
    <x v="1"/>
    <x v="0"/>
    <x v="0"/>
    <n v="20"/>
    <s v="Non Payé"/>
    <n v="80"/>
    <n v="20"/>
  </r>
  <r>
    <s v="Tamara 2"/>
    <x v="1"/>
    <m/>
    <x v="0"/>
    <x v="1"/>
    <x v="0"/>
    <x v="0"/>
    <n v="20"/>
    <s v="Non Payé"/>
    <n v="0"/>
    <n v="21"/>
  </r>
  <r>
    <s v="Tamara 3"/>
    <x v="1"/>
    <m/>
    <x v="2"/>
    <x v="1"/>
    <x v="0"/>
    <x v="0"/>
    <n v="20"/>
    <s v="Non Payé"/>
    <n v="0"/>
    <n v="22"/>
  </r>
  <r>
    <s v="Tamara 4"/>
    <x v="1"/>
    <m/>
    <x v="3"/>
    <x v="1"/>
    <x v="0"/>
    <x v="0"/>
    <n v="20"/>
    <s v="Non Payé"/>
    <n v="0"/>
    <n v="23"/>
  </r>
  <r>
    <s v="Tamara 5"/>
    <x v="1"/>
    <n v="1"/>
    <x v="3"/>
    <x v="1"/>
    <x v="0"/>
    <x v="0"/>
    <n v="10"/>
    <s v="Non Payé"/>
    <n v="10"/>
    <n v="24"/>
  </r>
  <r>
    <s v="Tamara 6"/>
    <x v="1"/>
    <n v="1"/>
    <x v="1"/>
    <x v="1"/>
    <x v="0"/>
    <x v="0"/>
    <n v="10"/>
    <s v="Non Payé"/>
    <n v="10"/>
    <n v="25"/>
  </r>
  <r>
    <s v="Mode"/>
    <x v="1"/>
    <n v="1"/>
    <x v="0"/>
    <x v="3"/>
    <x v="0"/>
    <x v="0"/>
    <n v="20"/>
    <s v="Non Payé"/>
    <n v="20"/>
    <n v="26"/>
  </r>
  <r>
    <s v="Famille Artiste"/>
    <x v="1"/>
    <n v="1"/>
    <x v="0"/>
    <x v="1"/>
    <x v="1"/>
    <x v="1"/>
    <n v="15"/>
    <s v="Non Payé"/>
    <n v="15"/>
    <n v="27"/>
  </r>
  <r>
    <s v="Famille Artiste"/>
    <x v="1"/>
    <n v="1"/>
    <x v="0"/>
    <x v="1"/>
    <x v="1"/>
    <x v="1"/>
    <n v="15"/>
    <s v="Non Payé"/>
    <n v="15"/>
    <n v="28"/>
  </r>
  <r>
    <s v="Famille Artiste"/>
    <x v="1"/>
    <n v="1"/>
    <x v="0"/>
    <x v="1"/>
    <x v="1"/>
    <x v="1"/>
    <n v="15"/>
    <s v="Non Payé"/>
    <n v="15"/>
    <n v="29"/>
  </r>
  <r>
    <s v="Sr maricoise"/>
    <x v="1"/>
    <n v="1"/>
    <x v="0"/>
    <x v="1"/>
    <x v="1"/>
    <x v="0"/>
    <n v="20"/>
    <s v="Non Payé"/>
    <n v="20"/>
    <n v="30"/>
  </r>
  <r>
    <s v="Famille Julien"/>
    <x v="0"/>
    <n v="7"/>
    <x v="0"/>
    <x v="1"/>
    <x v="0"/>
    <x v="0"/>
    <n v="20"/>
    <s v="Non Payé"/>
    <n v="119"/>
    <n v="31"/>
  </r>
  <r>
    <s v="Famille Julien"/>
    <x v="1"/>
    <m/>
    <x v="0"/>
    <x v="1"/>
    <x v="0"/>
    <x v="0"/>
    <n v="20"/>
    <s v="Non Payé"/>
    <n v="0"/>
    <n v="32"/>
  </r>
  <r>
    <s v="Famille Julien"/>
    <x v="1"/>
    <m/>
    <x v="0"/>
    <x v="1"/>
    <x v="0"/>
    <x v="0"/>
    <n v="20"/>
    <s v="Non Payé"/>
    <n v="0"/>
    <n v="33"/>
  </r>
  <r>
    <s v="Famille Julien"/>
    <x v="1"/>
    <m/>
    <x v="1"/>
    <x v="1"/>
    <x v="0"/>
    <x v="0"/>
    <n v="20"/>
    <s v="Non Payé"/>
    <n v="0"/>
    <n v="34"/>
  </r>
  <r>
    <s v="Famille Julien"/>
    <x v="1"/>
    <m/>
    <x v="1"/>
    <x v="1"/>
    <x v="0"/>
    <x v="0"/>
    <n v="20"/>
    <s v="Non Payé"/>
    <n v="0"/>
    <n v="35"/>
  </r>
  <r>
    <s v="Famille Julien"/>
    <x v="1"/>
    <m/>
    <x v="2"/>
    <x v="1"/>
    <x v="0"/>
    <x v="0"/>
    <n v="20"/>
    <s v="Non Payé"/>
    <n v="0"/>
    <n v="36"/>
  </r>
  <r>
    <s v="Famille Julien"/>
    <x v="1"/>
    <m/>
    <x v="2"/>
    <x v="1"/>
    <x v="0"/>
    <x v="0"/>
    <n v="20"/>
    <s v="Non Payé"/>
    <n v="0"/>
    <n v="37"/>
  </r>
  <r>
    <s v="Fr Laurent"/>
    <x v="1"/>
    <n v="1"/>
    <x v="0"/>
    <x v="3"/>
    <x v="1"/>
    <x v="0"/>
    <n v="20"/>
    <s v="Non Payé"/>
    <n v="20"/>
    <n v="38"/>
  </r>
  <r>
    <s v="Sr Laurent"/>
    <x v="1"/>
    <n v="1"/>
    <x v="0"/>
    <x v="3"/>
    <x v="1"/>
    <x v="0"/>
    <n v="20"/>
    <s v="Non Payé"/>
    <n v="20"/>
    <n v="39"/>
  </r>
  <r>
    <s v="Famille Léa"/>
    <x v="1"/>
    <n v="1"/>
    <x v="0"/>
    <x v="1"/>
    <x v="0"/>
    <x v="0"/>
    <n v="20"/>
    <s v="Non Payé"/>
    <n v="20"/>
    <n v="40"/>
  </r>
  <r>
    <s v="Famille Léa"/>
    <x v="1"/>
    <n v="1"/>
    <x v="0"/>
    <x v="1"/>
    <x v="0"/>
    <x v="0"/>
    <n v="20"/>
    <s v="Non Payé"/>
    <n v="20"/>
    <n v="41"/>
  </r>
  <r>
    <s v="Famille Léa"/>
    <x v="1"/>
    <n v="1"/>
    <x v="0"/>
    <x v="2"/>
    <x v="0"/>
    <x v="0"/>
    <n v="20"/>
    <s v="Non Payé"/>
    <n v="20"/>
    <n v="42"/>
  </r>
  <r>
    <s v="sr Petit frère"/>
    <x v="1"/>
    <n v="1"/>
    <x v="3"/>
    <x v="1"/>
    <x v="0"/>
    <x v="1"/>
    <n v="15"/>
    <s v="Non Payé"/>
    <n v="15"/>
    <n v="43"/>
  </r>
  <r>
    <s v="Moricia"/>
    <x v="1"/>
    <n v="1"/>
    <x v="0"/>
    <x v="1"/>
    <x v="0"/>
    <x v="1"/>
    <n v="15"/>
    <s v="Non Payé"/>
    <n v="15"/>
    <n v="44"/>
  </r>
  <r>
    <s v="Odette"/>
    <x v="1"/>
    <n v="1"/>
    <x v="0"/>
    <x v="1"/>
    <x v="0"/>
    <x v="1"/>
    <n v="15"/>
    <s v="Non Payé"/>
    <n v="15"/>
    <n v="45"/>
  </r>
  <r>
    <s v="Sr Françoise"/>
    <x v="1"/>
    <n v="1"/>
    <x v="1"/>
    <x v="1"/>
    <x v="1"/>
    <x v="0"/>
    <n v="20"/>
    <s v="Non Payé"/>
    <n v="20"/>
    <n v="46"/>
  </r>
  <r>
    <s v="Sr Françoise"/>
    <x v="1"/>
    <n v="1"/>
    <x v="1"/>
    <x v="1"/>
    <x v="1"/>
    <x v="0"/>
    <n v="20"/>
    <s v="Non Payé"/>
    <n v="20"/>
    <n v="47"/>
  </r>
  <r>
    <s v="sr Toussaint"/>
    <x v="1"/>
    <n v="1"/>
    <x v="0"/>
    <x v="1"/>
    <x v="0"/>
    <x v="0"/>
    <n v="20"/>
    <s v="Non Payé"/>
    <n v="20"/>
    <n v="48"/>
  </r>
  <r>
    <s v="Roseline"/>
    <x v="1"/>
    <n v="1"/>
    <x v="2"/>
    <x v="1"/>
    <x v="1"/>
    <x v="0"/>
    <n v="20"/>
    <s v="Non Payé"/>
    <n v="20"/>
    <n v="49"/>
  </r>
  <r>
    <s v="Roseline"/>
    <x v="1"/>
    <n v="1"/>
    <x v="0"/>
    <x v="2"/>
    <x v="1"/>
    <x v="0"/>
    <n v="20"/>
    <s v="Non Payé"/>
    <n v="20"/>
    <n v="50"/>
  </r>
  <r>
    <s v="Marie Carnouche"/>
    <x v="1"/>
    <n v="1"/>
    <x v="3"/>
    <x v="2"/>
    <x v="0"/>
    <x v="0"/>
    <n v="20"/>
    <s v="Non Payé"/>
    <n v="20"/>
    <n v="51"/>
  </r>
  <r>
    <s v="Raymonde"/>
    <x v="1"/>
    <n v="1"/>
    <x v="1"/>
    <x v="2"/>
    <x v="0"/>
    <x v="0"/>
    <n v="20"/>
    <s v="Non Payé"/>
    <n v="20"/>
    <n v="52"/>
  </r>
  <r>
    <s v="Famille Georges"/>
    <x v="1"/>
    <n v="1"/>
    <x v="4"/>
    <x v="3"/>
    <x v="0"/>
    <x v="0"/>
    <n v="20"/>
    <s v="Non Payé"/>
    <n v="20"/>
    <n v="53"/>
  </r>
  <r>
    <s v="Famille Georges"/>
    <x v="1"/>
    <n v="1"/>
    <x v="4"/>
    <x v="3"/>
    <x v="0"/>
    <x v="0"/>
    <n v="20"/>
    <s v="Non Payé"/>
    <n v="20"/>
    <n v="54"/>
  </r>
  <r>
    <s v="Famille Georges"/>
    <x v="1"/>
    <n v="1"/>
    <x v="4"/>
    <x v="3"/>
    <x v="0"/>
    <x v="0"/>
    <n v="20"/>
    <s v="Non Payé"/>
    <n v="20"/>
    <n v="55"/>
  </r>
  <r>
    <s v="Serina"/>
    <x v="1"/>
    <n v="1"/>
    <x v="1"/>
    <x v="0"/>
    <x v="0"/>
    <x v="0"/>
    <n v="20"/>
    <s v="Non Payé"/>
    <n v="20"/>
    <n v="56"/>
  </r>
  <r>
    <s v="Beaudelaire"/>
    <x v="1"/>
    <n v="1"/>
    <x v="2"/>
    <x v="1"/>
    <x v="0"/>
    <x v="0"/>
    <n v="20"/>
    <s v="Non Payé"/>
    <n v="20"/>
    <n v="57"/>
  </r>
  <r>
    <s v="Marcelin Chaarlie"/>
    <x v="1"/>
    <n v="1"/>
    <x v="2"/>
    <x v="1"/>
    <x v="0"/>
    <x v="0"/>
    <n v="20"/>
    <s v="Non Payé"/>
    <n v="20"/>
    <n v="58"/>
  </r>
  <r>
    <s v="Claunette"/>
    <x v="1"/>
    <n v="1"/>
    <x v="0"/>
    <x v="1"/>
    <x v="0"/>
    <x v="0"/>
    <n v="10"/>
    <s v="Non Payé"/>
    <n v="10"/>
    <n v="59"/>
  </r>
  <r>
    <s v="Pierre Laurole"/>
    <x v="1"/>
    <n v="1"/>
    <x v="0"/>
    <x v="0"/>
    <x v="1"/>
    <x v="0"/>
    <n v="20"/>
    <s v="Non Payé"/>
    <n v="20"/>
    <n v="60"/>
  </r>
  <r>
    <s v="Margarette"/>
    <x v="1"/>
    <n v="1"/>
    <x v="2"/>
    <x v="0"/>
    <x v="0"/>
    <x v="0"/>
    <n v="20"/>
    <s v="Non Payé"/>
    <n v="20"/>
    <n v="61"/>
  </r>
  <r>
    <s v="Mathias"/>
    <x v="1"/>
    <n v="1"/>
    <x v="0"/>
    <x v="1"/>
    <x v="1"/>
    <x v="0"/>
    <n v="20"/>
    <s v="Non Payé"/>
    <n v="20"/>
    <n v="62"/>
  </r>
  <r>
    <s v="Gladys"/>
    <x v="1"/>
    <n v="1"/>
    <x v="3"/>
    <x v="0"/>
    <x v="1"/>
    <x v="0"/>
    <n v="0"/>
    <s v="Non Payé"/>
    <n v="0"/>
    <n v="63"/>
  </r>
  <r>
    <s v="Lacia"/>
    <x v="1"/>
    <n v="1"/>
    <x v="0"/>
    <x v="1"/>
    <x v="1"/>
    <x v="0"/>
    <n v="0"/>
    <s v="Non Payé"/>
    <n v="0"/>
    <n v="64"/>
  </r>
  <r>
    <s v="Clozel"/>
    <x v="1"/>
    <n v="1"/>
    <x v="2"/>
    <x v="0"/>
    <x v="1"/>
    <x v="0"/>
    <n v="0"/>
    <s v="Non Payé"/>
    <n v="0"/>
    <n v="65"/>
  </r>
  <r>
    <s v="Edwin"/>
    <x v="1"/>
    <n v="1"/>
    <x v="3"/>
    <x v="1"/>
    <x v="0"/>
    <x v="0"/>
    <n v="20"/>
    <s v="Non Payé"/>
    <n v="20"/>
    <n v="66"/>
  </r>
  <r>
    <s v="Gina "/>
    <x v="1"/>
    <n v="1"/>
    <x v="4"/>
    <x v="3"/>
    <x v="0"/>
    <x v="0"/>
    <n v="0"/>
    <s v="Non Payé"/>
    <n v="0"/>
    <n v="67"/>
  </r>
  <r>
    <s v="Ocema"/>
    <x v="1"/>
    <n v="1"/>
    <x v="4"/>
    <x v="3"/>
    <x v="0"/>
    <x v="0"/>
    <n v="0"/>
    <s v="Non Payé"/>
    <n v="0"/>
    <n v="68"/>
  </r>
  <r>
    <s v="Eloise Bruno"/>
    <x v="1"/>
    <n v="1"/>
    <x v="4"/>
    <x v="3"/>
    <x v="0"/>
    <x v="0"/>
    <n v="0"/>
    <s v="Non Payé"/>
    <n v="0"/>
    <n v="69"/>
  </r>
  <r>
    <s v="Lézimène"/>
    <x v="1"/>
    <n v="1"/>
    <x v="4"/>
    <x v="3"/>
    <x v="0"/>
    <x v="0"/>
    <n v="20"/>
    <s v="Non Payé"/>
    <n v="20"/>
    <n v="70"/>
  </r>
  <r>
    <s v="Chloé "/>
    <x v="1"/>
    <n v="1"/>
    <x v="4"/>
    <x v="3"/>
    <x v="0"/>
    <x v="0"/>
    <n v="20"/>
    <s v="Non Payé"/>
    <n v="20"/>
    <n v="71"/>
  </r>
  <r>
    <s v="Mr Bruno"/>
    <x v="1"/>
    <n v="1"/>
    <x v="4"/>
    <x v="3"/>
    <x v="0"/>
    <x v="0"/>
    <n v="20"/>
    <s v="Non Payé"/>
    <n v="20"/>
    <n v="72"/>
  </r>
  <r>
    <s v="Madame Bruno"/>
    <x v="1"/>
    <n v="1"/>
    <x v="4"/>
    <x v="3"/>
    <x v="0"/>
    <x v="0"/>
    <n v="20"/>
    <s v="Non Payé"/>
    <n v="20"/>
    <n v="73"/>
  </r>
  <r>
    <s v="Madcène"/>
    <x v="1"/>
    <n v="1"/>
    <x v="4"/>
    <x v="3"/>
    <x v="0"/>
    <x v="0"/>
    <n v="20"/>
    <s v="Non Payé"/>
    <n v="20"/>
    <n v="74"/>
  </r>
  <r>
    <s v="Madina"/>
    <x v="1"/>
    <n v="1"/>
    <x v="4"/>
    <x v="3"/>
    <x v="0"/>
    <x v="0"/>
    <n v="20"/>
    <s v="Non Payé"/>
    <n v="20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60D54-FA6F-4728-AD4F-5EA674FE2B6C}" name="Tableau croisé dynamique10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18:G120" firstHeaderRow="1" firstDataRow="2" firstDataCol="1"/>
  <pivotFields count="11">
    <pivotField showAll="0"/>
    <pivotField showAll="0"/>
    <pivotField dataField="1" showAll="0"/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6" showAll="0"/>
  </pivotFields>
  <rowItems count="1">
    <i/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Nb personn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3C352-C725-44B5-8688-87EA4D9D905A}" name="Tableau croisé dynamique9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23:F125" firstHeaderRow="1" firstDataRow="2" firstDataCol="1"/>
  <pivotFields count="11">
    <pivotField showAll="0"/>
    <pivotField showAll="0"/>
    <pivotField dataField="1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65" showAll="0"/>
    <pivotField numFmtId="166" showAll="0"/>
  </pivotFields>
  <rowItems count="1">
    <i/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omme de Nb personn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06192-CAB8-4A3C-ACAE-74A484D35853}" name="Tableau croisé dynamique8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29:D131" firstHeaderRow="1" firstDataRow="2" firstDataCol="1"/>
  <pivotFields count="11">
    <pivotField showAll="0"/>
    <pivotField showAll="0"/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numFmtId="165" showAll="0"/>
    <pivotField numFmtId="166" showAll="0"/>
  </pivotFields>
  <rowItems count="1">
    <i/>
  </rowItems>
  <colFields count="1">
    <field x="5"/>
  </colFields>
  <colItems count="3">
    <i>
      <x/>
    </i>
    <i>
      <x v="1"/>
    </i>
    <i t="grand">
      <x/>
    </i>
  </colItems>
  <dataFields count="1">
    <dataField name="Somme de Nb personn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908B8-5ABB-4C1E-97A5-B76F12CD7700}" name="Tableau croisé dynamique7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33:D135" firstHeaderRow="1" firstDataRow="2" firstDataCol="1"/>
  <pivotFields count="11"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1"/>
        <item x="0"/>
        <item m="1" x="2"/>
        <item t="default"/>
      </items>
    </pivotField>
    <pivotField showAll="0"/>
    <pivotField showAll="0"/>
    <pivotField numFmtId="165" showAll="0"/>
    <pivotField numFmtId="166" showAll="0"/>
  </pivotFields>
  <rowItems count="1">
    <i/>
  </rowItems>
  <colFields count="1">
    <field x="6"/>
  </colFields>
  <colItems count="3">
    <i>
      <x/>
    </i>
    <i>
      <x v="1"/>
    </i>
    <i t="grand">
      <x/>
    </i>
  </colItems>
  <dataFields count="1">
    <dataField name="Somme de Nb personn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2DB40-0E00-4A24-B909-40F3DA918F86}" name="Tableau croisé dynamique6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39:D141" firstHeaderRow="1" firstDataRow="2" firstDataCol="1"/>
  <pivotFields count="11">
    <pivotField showAll="0"/>
    <pivotField axis="axisCol" showAll="0">
      <items count="3">
        <item x="0"/>
        <item x="1"/>
        <item t="default"/>
      </items>
    </pivotField>
    <pivotField dataField="1"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6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omme de Nb personn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57D34-4E96-48BE-AE6B-B386F8DE0A35}" name="Tableau croisé dynamique5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22:D24" firstHeaderRow="1" firstDataRow="2" firstDataCol="1"/>
  <pivotFields count="11">
    <pivotField showAll="0"/>
    <pivotField axis="axisCol" showAll="0">
      <items count="3">
        <item x="0"/>
        <item x="1"/>
        <item t="default"/>
      </items>
    </pivotField>
    <pivotField dataField="1"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6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omme de Nb personn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EAFD8-C1F7-4887-BA2D-D47E0D4FC146}" name="Tableau croisé dynamique4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6:D18" firstHeaderRow="1" firstDataRow="2" firstDataCol="1"/>
  <pivotFields count="11"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1"/>
        <item x="0"/>
        <item m="1" x="2"/>
        <item t="default"/>
      </items>
    </pivotField>
    <pivotField showAll="0"/>
    <pivotField showAll="0"/>
    <pivotField numFmtId="165" showAll="0"/>
    <pivotField numFmtId="166" showAll="0"/>
  </pivotFields>
  <rowItems count="1">
    <i/>
  </rowItems>
  <colFields count="1">
    <field x="6"/>
  </colFields>
  <colItems count="3">
    <i>
      <x/>
    </i>
    <i>
      <x v="1"/>
    </i>
    <i t="grand">
      <x/>
    </i>
  </colItems>
  <dataFields count="1">
    <dataField name="Somme de Nb personn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67F87-3763-449D-B99C-7CDD2BEB4350}" name="Tableau croisé dynamique3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2:D14" firstHeaderRow="1" firstDataRow="2" firstDataCol="1"/>
  <pivotFields count="11">
    <pivotField showAll="0"/>
    <pivotField showAll="0"/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numFmtId="165" showAll="0"/>
    <pivotField numFmtId="166" showAll="0"/>
  </pivotFields>
  <rowItems count="1">
    <i/>
  </rowItems>
  <colFields count="1">
    <field x="5"/>
  </colFields>
  <colItems count="3">
    <i>
      <x/>
    </i>
    <i>
      <x v="1"/>
    </i>
    <i t="grand">
      <x/>
    </i>
  </colItems>
  <dataFields count="1">
    <dataField name="Somme de Nb personn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20B01-D2A6-49D5-85BC-C0AFB13C1AEF}" name="Tableau croisé dynamique2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6:F8" firstHeaderRow="1" firstDataRow="2" firstDataCol="1"/>
  <pivotFields count="11">
    <pivotField showAll="0"/>
    <pivotField showAll="0"/>
    <pivotField dataField="1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numFmtId="165" showAll="0"/>
    <pivotField numFmtId="166" showAll="0"/>
  </pivotFields>
  <rowItems count="1">
    <i/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omme de Nb personn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778F9-3A60-431F-BA97-02A615DD0BD6}" name="Tableau croisé dynamique1" cacheId="1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:G3" firstHeaderRow="1" firstDataRow="2" firstDataCol="1"/>
  <pivotFields count="11">
    <pivotField showAll="0"/>
    <pivotField showAll="0"/>
    <pivotField dataField="1" showAll="0"/>
    <pivotField axis="axisCol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6" showAll="0"/>
  </pivotFields>
  <rowItems count="1">
    <i/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me de Nb personn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45A22-7E08-4531-9483-D39A2633BEEA}" name="Tableau1" displayName="Tableau1" ref="A1:K114" totalsRowCount="1">
  <autoFilter ref="A1:K113" xr:uid="{51B45A22-7E08-4531-9483-D39A2633BEEA}">
    <filterColumn colId="0">
      <customFilters>
        <customFilter operator="notEqual" val=" "/>
      </customFilters>
    </filterColumn>
  </autoFilter>
  <tableColumns count="11">
    <tableColumn id="1" xr3:uid="{D37232FD-0BCB-4801-9CF5-4BA8216D0197}" name="Nom complet" totalsRowLabel="Total"/>
    <tableColumn id="7" xr3:uid="{D645FE62-426F-4265-B003-3BABEF69B05C}" name="Forfait"/>
    <tableColumn id="8" xr3:uid="{28C353EC-FE8C-4568-9C8B-923F5EA3FFB7}" name="Nb personnes" totalsRowFunction="sum"/>
    <tableColumn id="2" xr3:uid="{769C79CA-C8FD-43EA-B4D8-7385D6333585}" name="Viande"/>
    <tableColumn id="3" xr3:uid="{B3EF8532-65EF-4802-9A24-075FDFACF41D}" name="Accompagnement"/>
    <tableColumn id="10" xr3:uid="{CE1F1DA6-74FC-4E62-9453-8E3ACF5486C0}" name="Légume"/>
    <tableColumn id="4" xr3:uid="{D352D45E-C966-4DD8-B0F3-439A1A449529}" name="Type"/>
    <tableColumn id="9" xr3:uid="{B795AFDC-492C-4AC8-94EF-FEFC2B9D921A}" name="Prix" dataDxfId="2">
      <calculatedColumnFormula>IF(Tableau1[[#This Row],[Type]]="Sur place", 20, 15)</calculatedColumnFormula>
    </tableColumn>
    <tableColumn id="5" xr3:uid="{ACF49DD5-A943-4050-BB05-0B5ACC375918}" name="Paiement"/>
    <tableColumn id="6" xr3:uid="{3C8BE7E0-3721-4CEB-A82A-8ED8A5BC646C}" name="Tarif" totalsRowFunction="sum" dataDxfId="1" totalsRowDxfId="0">
      <calculatedColumnFormula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calculatedColumnFormula>
    </tableColumn>
    <tableColumn id="11" xr3:uid="{CDD26A98-384E-47C7-A9D7-95807DCA6D15}" name="Tick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FCAA12-0F92-4BAF-8315-C32B00B2F58D}" name="Tableau2" displayName="Tableau2" ref="A2:A6" totalsRowShown="0">
  <autoFilter ref="A2:A6" xr:uid="{0AFCAA12-0F92-4BAF-8315-C32B00B2F58D}"/>
  <tableColumns count="1">
    <tableColumn id="1" xr3:uid="{31F57118-3172-498F-97E0-0D034F5995C8}" name="Viand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7A1128-9E9B-4BC7-81E3-26EC36B72A4C}" name="Tableau3" displayName="Tableau3" ref="C2:C7" totalsRowShown="0">
  <autoFilter ref="C2:C7" xr:uid="{247A1128-9E9B-4BC7-81E3-26EC36B72A4C}"/>
  <tableColumns count="1">
    <tableColumn id="1" xr3:uid="{B1A7CC54-A1D0-49E5-87C1-A63E4D8D1EAF}" name="Accompagnement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69A979-835D-4592-8D76-3BF1361C63D9}" name="Tableau4" displayName="Tableau4" ref="E2:E4" totalsRowShown="0">
  <autoFilter ref="E2:E4" xr:uid="{1669A979-835D-4592-8D76-3BF1361C63D9}"/>
  <tableColumns count="1">
    <tableColumn id="1" xr3:uid="{43648634-D401-43E0-BC02-34854EDEAF74}" name="Type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31FBDF-198D-40FA-87A5-112A581D0E8F}" name="Tableau5" displayName="Tableau5" ref="G2:G4" totalsRowShown="0">
  <autoFilter ref="G2:G4" xr:uid="{0D31FBDF-198D-40FA-87A5-112A581D0E8F}"/>
  <tableColumns count="1">
    <tableColumn id="1" xr3:uid="{65B04241-15CC-4B76-AEE3-CFF1EE0F3404}" name="Forfait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C287A7-C8A0-40D6-A51A-B1C9FD39DB67}" name="Tableau6" displayName="Tableau6" ref="I2:I5" totalsRowShown="0">
  <autoFilter ref="I2:I5" xr:uid="{78C287A7-C8A0-40D6-A51A-B1C9FD39DB67}"/>
  <tableColumns count="1">
    <tableColumn id="1" xr3:uid="{AA457627-FBF0-4EC2-AECF-E79D233FDE31}" name="Paiement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6E4055-A690-4A0D-BF43-1FCA73569C4F}" name="Tableau7" displayName="Tableau7" ref="K2:K4" totalsRowShown="0">
  <autoFilter ref="K2:K4" xr:uid="{246E4055-A690-4A0D-BF43-1FCA73569C4F}"/>
  <tableColumns count="1">
    <tableColumn id="1" xr3:uid="{1BECCE84-2839-4750-ACEF-1B7B35AB125C}" name="Légum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419A-9303-4AAB-86B8-E29AEECB2B3F}">
  <sheetPr>
    <pageSetUpPr fitToPage="1"/>
  </sheetPr>
  <dimension ref="A1:K141"/>
  <sheetViews>
    <sheetView tabSelected="1" topLeftCell="A138" workbookViewId="0">
      <selection activeCell="J148" sqref="J148"/>
    </sheetView>
  </sheetViews>
  <sheetFormatPr baseColWidth="10" defaultRowHeight="14.5" x14ac:dyDescent="0.35"/>
  <cols>
    <col min="1" max="1" width="15.1796875" bestFit="1" customWidth="1"/>
    <col min="2" max="2" width="8.54296875" bestFit="1" customWidth="1"/>
    <col min="3" max="3" width="8.54296875" customWidth="1"/>
    <col min="4" max="4" width="19.453125" bestFit="1" customWidth="1"/>
    <col min="5" max="5" width="18.36328125" bestFit="1" customWidth="1"/>
    <col min="8" max="8" width="11.08984375" bestFit="1" customWidth="1"/>
    <col min="9" max="9" width="11.26953125" customWidth="1"/>
  </cols>
  <sheetData>
    <row r="1" spans="1:11" x14ac:dyDescent="0.35">
      <c r="A1" t="s">
        <v>0</v>
      </c>
      <c r="B1" t="s">
        <v>17</v>
      </c>
      <c r="C1" t="s">
        <v>23</v>
      </c>
      <c r="D1" t="s">
        <v>1</v>
      </c>
      <c r="E1" t="s">
        <v>2</v>
      </c>
      <c r="F1" t="s">
        <v>39</v>
      </c>
      <c r="G1" t="s">
        <v>3</v>
      </c>
      <c r="H1" t="s">
        <v>26</v>
      </c>
      <c r="I1" t="s">
        <v>4</v>
      </c>
      <c r="J1" t="s">
        <v>5</v>
      </c>
      <c r="K1" t="s">
        <v>91</v>
      </c>
    </row>
    <row r="2" spans="1:11" x14ac:dyDescent="0.35">
      <c r="A2" t="s">
        <v>24</v>
      </c>
      <c r="B2" t="s">
        <v>18</v>
      </c>
      <c r="C2">
        <v>5</v>
      </c>
      <c r="D2" t="s">
        <v>6</v>
      </c>
      <c r="E2" t="s">
        <v>14</v>
      </c>
      <c r="G2" t="s">
        <v>15</v>
      </c>
      <c r="H2">
        <f>IF(Tableau1[[#This Row],[Type]]="Sur place", 20, 15)</f>
        <v>20</v>
      </c>
      <c r="I2" t="s">
        <v>20</v>
      </c>
      <c r="J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85</v>
      </c>
      <c r="K2" s="2">
        <v>1</v>
      </c>
    </row>
    <row r="3" spans="1:11" x14ac:dyDescent="0.35">
      <c r="A3" t="s">
        <v>25</v>
      </c>
      <c r="B3" t="s">
        <v>18</v>
      </c>
      <c r="C3">
        <v>3</v>
      </c>
      <c r="D3" t="s">
        <v>8</v>
      </c>
      <c r="E3" t="s">
        <v>14</v>
      </c>
      <c r="G3" t="s">
        <v>16</v>
      </c>
      <c r="H3">
        <f>IF(Tableau1[[#This Row],[Type]]="Sur place", 20, 15)</f>
        <v>15</v>
      </c>
      <c r="I3" t="s">
        <v>20</v>
      </c>
      <c r="J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45</v>
      </c>
      <c r="K3" s="2">
        <f>K2+1</f>
        <v>2</v>
      </c>
    </row>
    <row r="4" spans="1:11" x14ac:dyDescent="0.35">
      <c r="A4" t="s">
        <v>27</v>
      </c>
      <c r="B4" t="s">
        <v>19</v>
      </c>
      <c r="C4">
        <v>1</v>
      </c>
      <c r="D4" t="s">
        <v>9</v>
      </c>
      <c r="E4" t="s">
        <v>29</v>
      </c>
      <c r="G4" t="s">
        <v>15</v>
      </c>
      <c r="H4">
        <f>IF(Tableau1[[#This Row],[Type]]="Sur place", 20, 15)</f>
        <v>20</v>
      </c>
      <c r="I4" t="s">
        <v>20</v>
      </c>
      <c r="J4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4" s="2">
        <f t="shared" ref="K4:K67" si="0">K3+1</f>
        <v>3</v>
      </c>
    </row>
    <row r="5" spans="1:11" x14ac:dyDescent="0.35">
      <c r="A5" t="s">
        <v>28</v>
      </c>
      <c r="B5" t="s">
        <v>19</v>
      </c>
      <c r="C5">
        <v>1</v>
      </c>
      <c r="D5" t="s">
        <v>9</v>
      </c>
      <c r="E5" t="s">
        <v>11</v>
      </c>
      <c r="G5" t="s">
        <v>15</v>
      </c>
      <c r="H5">
        <f>IF(Tableau1[[#This Row],[Type]]="Sur place", 20, 15)</f>
        <v>20</v>
      </c>
      <c r="I5" t="s">
        <v>20</v>
      </c>
      <c r="J5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5" s="2">
        <f t="shared" si="0"/>
        <v>4</v>
      </c>
    </row>
    <row r="6" spans="1:11" x14ac:dyDescent="0.35">
      <c r="A6" t="s">
        <v>31</v>
      </c>
      <c r="B6" t="s">
        <v>19</v>
      </c>
      <c r="C6">
        <v>1</v>
      </c>
      <c r="D6" t="s">
        <v>6</v>
      </c>
      <c r="E6" t="s">
        <v>29</v>
      </c>
      <c r="G6" t="s">
        <v>16</v>
      </c>
      <c r="H6">
        <f>IF(Tableau1[[#This Row],[Type]]="Sur place", 20, 15)</f>
        <v>15</v>
      </c>
      <c r="I6" t="s">
        <v>20</v>
      </c>
      <c r="J6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15</v>
      </c>
      <c r="K6" s="2">
        <f t="shared" si="0"/>
        <v>5</v>
      </c>
    </row>
    <row r="7" spans="1:11" x14ac:dyDescent="0.35">
      <c r="A7" t="s">
        <v>32</v>
      </c>
      <c r="B7" t="s">
        <v>19</v>
      </c>
      <c r="C7">
        <v>1</v>
      </c>
      <c r="D7" t="s">
        <v>8</v>
      </c>
      <c r="E7" t="s">
        <v>14</v>
      </c>
      <c r="G7" t="s">
        <v>15</v>
      </c>
      <c r="H7">
        <f>IF(Tableau1[[#This Row],[Type]]="Sur place", 20, 15)</f>
        <v>20</v>
      </c>
      <c r="I7" t="s">
        <v>20</v>
      </c>
      <c r="J7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7" s="2">
        <f t="shared" si="0"/>
        <v>6</v>
      </c>
    </row>
    <row r="8" spans="1:11" x14ac:dyDescent="0.35">
      <c r="A8" t="s">
        <v>33</v>
      </c>
      <c r="B8" t="s">
        <v>19</v>
      </c>
      <c r="C8">
        <v>1</v>
      </c>
      <c r="D8" t="s">
        <v>7</v>
      </c>
      <c r="E8" t="s">
        <v>29</v>
      </c>
      <c r="G8" t="s">
        <v>15</v>
      </c>
      <c r="H8">
        <f>IF(Tableau1[[#This Row],[Type]]="Sur place", 20, 15)</f>
        <v>20</v>
      </c>
      <c r="I8" t="s">
        <v>20</v>
      </c>
      <c r="J8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8" s="2">
        <f t="shared" si="0"/>
        <v>7</v>
      </c>
    </row>
    <row r="9" spans="1:11" x14ac:dyDescent="0.35">
      <c r="A9" t="s">
        <v>34</v>
      </c>
      <c r="B9" t="s">
        <v>19</v>
      </c>
      <c r="C9">
        <v>1</v>
      </c>
      <c r="D9" t="s">
        <v>9</v>
      </c>
      <c r="E9" t="s">
        <v>29</v>
      </c>
      <c r="G9" t="s">
        <v>15</v>
      </c>
      <c r="H9">
        <f>IF(Tableau1[[#This Row],[Type]]="Sur place", 20, 15)</f>
        <v>20</v>
      </c>
      <c r="I9" t="s">
        <v>20</v>
      </c>
      <c r="J9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9" s="2">
        <f t="shared" si="0"/>
        <v>8</v>
      </c>
    </row>
    <row r="10" spans="1:11" x14ac:dyDescent="0.35">
      <c r="A10" t="s">
        <v>35</v>
      </c>
      <c r="B10" t="s">
        <v>19</v>
      </c>
      <c r="C10">
        <v>1</v>
      </c>
      <c r="D10" t="s">
        <v>8</v>
      </c>
      <c r="E10" t="s">
        <v>14</v>
      </c>
      <c r="F10" t="s">
        <v>40</v>
      </c>
      <c r="G10" t="s">
        <v>15</v>
      </c>
      <c r="H10">
        <f>IF(Tableau1[[#This Row],[Type]]="Sur place", 20, 15)</f>
        <v>20</v>
      </c>
      <c r="I10" t="s">
        <v>20</v>
      </c>
      <c r="J10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10" s="2">
        <f t="shared" si="0"/>
        <v>9</v>
      </c>
    </row>
    <row r="11" spans="1:11" x14ac:dyDescent="0.35">
      <c r="A11" t="s">
        <v>36</v>
      </c>
      <c r="B11" t="s">
        <v>18</v>
      </c>
      <c r="C11">
        <v>3</v>
      </c>
      <c r="D11" t="s">
        <v>6</v>
      </c>
      <c r="E11" t="s">
        <v>29</v>
      </c>
      <c r="G11" t="s">
        <v>15</v>
      </c>
      <c r="H11">
        <f>IF(Tableau1[[#This Row],[Type]]="Sur place", 20, 15)</f>
        <v>20</v>
      </c>
      <c r="I11" t="s">
        <v>20</v>
      </c>
      <c r="J11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60</v>
      </c>
      <c r="K11" s="2">
        <f t="shared" si="0"/>
        <v>10</v>
      </c>
    </row>
    <row r="12" spans="1:11" x14ac:dyDescent="0.35">
      <c r="A12" t="s">
        <v>37</v>
      </c>
      <c r="B12" t="s">
        <v>19</v>
      </c>
      <c r="C12">
        <v>1</v>
      </c>
      <c r="D12" t="s">
        <v>9</v>
      </c>
      <c r="E12" t="s">
        <v>29</v>
      </c>
      <c r="G12" t="s">
        <v>15</v>
      </c>
      <c r="H12">
        <f>IF(Tableau1[[#This Row],[Type]]="Sur place", 20, 15)</f>
        <v>20</v>
      </c>
      <c r="I12" t="s">
        <v>20</v>
      </c>
      <c r="J1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12" s="2">
        <f t="shared" si="0"/>
        <v>11</v>
      </c>
    </row>
    <row r="13" spans="1:11" x14ac:dyDescent="0.35">
      <c r="A13" t="s">
        <v>38</v>
      </c>
      <c r="B13" t="s">
        <v>19</v>
      </c>
      <c r="C13">
        <v>1</v>
      </c>
      <c r="D13" t="s">
        <v>8</v>
      </c>
      <c r="E13" t="s">
        <v>11</v>
      </c>
      <c r="G13" t="s">
        <v>15</v>
      </c>
      <c r="H13">
        <f>IF(Tableau1[[#This Row],[Type]]="Sur place", 20, 15)</f>
        <v>20</v>
      </c>
      <c r="I13" t="s">
        <v>20</v>
      </c>
      <c r="J1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13" s="2">
        <f t="shared" si="0"/>
        <v>12</v>
      </c>
    </row>
    <row r="14" spans="1:11" x14ac:dyDescent="0.35">
      <c r="A14" t="s">
        <v>42</v>
      </c>
      <c r="B14" t="s">
        <v>19</v>
      </c>
      <c r="C14">
        <v>1</v>
      </c>
      <c r="D14" t="s">
        <v>6</v>
      </c>
      <c r="G14" t="s">
        <v>15</v>
      </c>
      <c r="H14">
        <f>IF(Tableau1[[#This Row],[Type]]="Sur place", 20, 15)</f>
        <v>20</v>
      </c>
      <c r="I14" t="s">
        <v>20</v>
      </c>
      <c r="J14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14" s="2">
        <f t="shared" si="0"/>
        <v>13</v>
      </c>
    </row>
    <row r="15" spans="1:11" x14ac:dyDescent="0.35">
      <c r="A15" t="s">
        <v>43</v>
      </c>
      <c r="B15" t="s">
        <v>19</v>
      </c>
      <c r="C15">
        <v>1</v>
      </c>
      <c r="D15" t="s">
        <v>8</v>
      </c>
      <c r="G15" t="s">
        <v>15</v>
      </c>
      <c r="H15">
        <f>IF(Tableau1[[#This Row],[Type]]="Sur place", 20, 15)</f>
        <v>20</v>
      </c>
      <c r="I15" t="s">
        <v>20</v>
      </c>
      <c r="J15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15" s="2">
        <f t="shared" si="0"/>
        <v>14</v>
      </c>
    </row>
    <row r="16" spans="1:11" x14ac:dyDescent="0.35">
      <c r="A16" t="s">
        <v>44</v>
      </c>
      <c r="B16" t="s">
        <v>19</v>
      </c>
      <c r="C16">
        <v>1</v>
      </c>
      <c r="D16" t="s">
        <v>9</v>
      </c>
      <c r="G16" t="s">
        <v>15</v>
      </c>
      <c r="H16">
        <f>IF(Tableau1[[#This Row],[Type]]="Sur place", 20, 15)</f>
        <v>20</v>
      </c>
      <c r="I16" t="s">
        <v>20</v>
      </c>
      <c r="J16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16" s="2">
        <f t="shared" si="0"/>
        <v>15</v>
      </c>
    </row>
    <row r="17" spans="1:11" x14ac:dyDescent="0.35">
      <c r="A17" t="s">
        <v>45</v>
      </c>
      <c r="B17" t="s">
        <v>19</v>
      </c>
      <c r="C17">
        <v>1</v>
      </c>
      <c r="D17" t="s">
        <v>6</v>
      </c>
      <c r="F17" t="s">
        <v>40</v>
      </c>
      <c r="G17" t="s">
        <v>15</v>
      </c>
      <c r="H17">
        <f>IF(Tableau1[[#This Row],[Type]]="Sur place", 20, 15)</f>
        <v>20</v>
      </c>
      <c r="I17" t="s">
        <v>20</v>
      </c>
      <c r="J17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17" s="2">
        <f t="shared" si="0"/>
        <v>16</v>
      </c>
    </row>
    <row r="18" spans="1:11" x14ac:dyDescent="0.35">
      <c r="A18" t="s">
        <v>46</v>
      </c>
      <c r="B18" t="s">
        <v>19</v>
      </c>
      <c r="C18">
        <v>1</v>
      </c>
      <c r="D18" t="s">
        <v>8</v>
      </c>
      <c r="G18" t="s">
        <v>15</v>
      </c>
      <c r="H18">
        <f>IF(Tableau1[[#This Row],[Type]]="Sur place", 20, 15)</f>
        <v>20</v>
      </c>
      <c r="I18" t="s">
        <v>20</v>
      </c>
      <c r="J18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18" s="2">
        <f t="shared" si="0"/>
        <v>17</v>
      </c>
    </row>
    <row r="19" spans="1:11" x14ac:dyDescent="0.35">
      <c r="A19" t="s">
        <v>47</v>
      </c>
      <c r="B19" t="s">
        <v>19</v>
      </c>
      <c r="C19">
        <v>1</v>
      </c>
      <c r="D19" t="s">
        <v>6</v>
      </c>
      <c r="E19" t="s">
        <v>29</v>
      </c>
      <c r="G19" t="s">
        <v>15</v>
      </c>
      <c r="H19">
        <f>IF(Tableau1[[#This Row],[Type]]="Sur place", 20, 15)</f>
        <v>20</v>
      </c>
      <c r="I19" t="s">
        <v>20</v>
      </c>
      <c r="J19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19" s="2">
        <f t="shared" si="0"/>
        <v>18</v>
      </c>
    </row>
    <row r="20" spans="1:11" x14ac:dyDescent="0.35">
      <c r="A20" t="s">
        <v>48</v>
      </c>
      <c r="B20" t="s">
        <v>19</v>
      </c>
      <c r="C20">
        <v>1</v>
      </c>
      <c r="D20" t="s">
        <v>6</v>
      </c>
      <c r="E20" t="s">
        <v>14</v>
      </c>
      <c r="F20" t="s">
        <v>40</v>
      </c>
      <c r="G20" t="s">
        <v>15</v>
      </c>
      <c r="H20">
        <f>IF(Tableau1[[#This Row],[Type]]="Sur place", 20, 15)</f>
        <v>20</v>
      </c>
      <c r="I20" t="s">
        <v>20</v>
      </c>
      <c r="J20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20" s="2">
        <f t="shared" si="0"/>
        <v>19</v>
      </c>
    </row>
    <row r="21" spans="1:11" x14ac:dyDescent="0.35">
      <c r="A21" t="s">
        <v>55</v>
      </c>
      <c r="B21" t="s">
        <v>18</v>
      </c>
      <c r="C21">
        <v>4</v>
      </c>
      <c r="D21" t="s">
        <v>6</v>
      </c>
      <c r="E21" t="s">
        <v>29</v>
      </c>
      <c r="G21" t="s">
        <v>15</v>
      </c>
      <c r="H21">
        <f>IF(Tableau1[[#This Row],[Type]]="Sur place", 20, 15)</f>
        <v>20</v>
      </c>
      <c r="I21" t="s">
        <v>20</v>
      </c>
      <c r="J21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80</v>
      </c>
      <c r="K21" s="2">
        <f t="shared" si="0"/>
        <v>20</v>
      </c>
    </row>
    <row r="22" spans="1:11" x14ac:dyDescent="0.35">
      <c r="A22" t="s">
        <v>49</v>
      </c>
      <c r="B22" t="s">
        <v>19</v>
      </c>
      <c r="D22" t="s">
        <v>6</v>
      </c>
      <c r="E22" t="s">
        <v>29</v>
      </c>
      <c r="G22" t="s">
        <v>15</v>
      </c>
      <c r="H22">
        <f>IF(Tableau1[[#This Row],[Type]]="Sur place", 20, 15)</f>
        <v>20</v>
      </c>
      <c r="I22" t="s">
        <v>20</v>
      </c>
      <c r="J2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22" s="2">
        <f t="shared" si="0"/>
        <v>21</v>
      </c>
    </row>
    <row r="23" spans="1:11" x14ac:dyDescent="0.35">
      <c r="A23" t="s">
        <v>50</v>
      </c>
      <c r="B23" t="s">
        <v>19</v>
      </c>
      <c r="D23" t="s">
        <v>9</v>
      </c>
      <c r="E23" t="s">
        <v>29</v>
      </c>
      <c r="G23" t="s">
        <v>15</v>
      </c>
      <c r="H23">
        <f>IF(Tableau1[[#This Row],[Type]]="Sur place", 20, 15)</f>
        <v>20</v>
      </c>
      <c r="I23" t="s">
        <v>20</v>
      </c>
      <c r="J2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23" s="2">
        <f t="shared" si="0"/>
        <v>22</v>
      </c>
    </row>
    <row r="24" spans="1:11" x14ac:dyDescent="0.35">
      <c r="A24" t="s">
        <v>51</v>
      </c>
      <c r="B24" t="s">
        <v>19</v>
      </c>
      <c r="D24" t="s">
        <v>7</v>
      </c>
      <c r="E24" t="s">
        <v>29</v>
      </c>
      <c r="G24" t="s">
        <v>15</v>
      </c>
      <c r="H24">
        <f>IF(Tableau1[[#This Row],[Type]]="Sur place", 20, 15)</f>
        <v>20</v>
      </c>
      <c r="I24" t="s">
        <v>20</v>
      </c>
      <c r="J24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24" s="2">
        <f t="shared" si="0"/>
        <v>23</v>
      </c>
    </row>
    <row r="25" spans="1:11" x14ac:dyDescent="0.35">
      <c r="A25" t="s">
        <v>52</v>
      </c>
      <c r="B25" t="s">
        <v>19</v>
      </c>
      <c r="C25">
        <v>1</v>
      </c>
      <c r="D25" t="s">
        <v>7</v>
      </c>
      <c r="E25" t="s">
        <v>29</v>
      </c>
      <c r="G25" t="s">
        <v>15</v>
      </c>
      <c r="H25">
        <v>10</v>
      </c>
      <c r="I25" t="s">
        <v>20</v>
      </c>
      <c r="J25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10</v>
      </c>
      <c r="K25" s="2">
        <f t="shared" si="0"/>
        <v>24</v>
      </c>
    </row>
    <row r="26" spans="1:11" x14ac:dyDescent="0.35">
      <c r="A26" t="s">
        <v>53</v>
      </c>
      <c r="B26" t="s">
        <v>19</v>
      </c>
      <c r="C26">
        <v>1</v>
      </c>
      <c r="D26" t="s">
        <v>8</v>
      </c>
      <c r="E26" t="s">
        <v>29</v>
      </c>
      <c r="G26" t="s">
        <v>15</v>
      </c>
      <c r="H26">
        <v>10</v>
      </c>
      <c r="I26" t="s">
        <v>20</v>
      </c>
      <c r="J26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10</v>
      </c>
      <c r="K26" s="2">
        <f t="shared" si="0"/>
        <v>25</v>
      </c>
    </row>
    <row r="27" spans="1:11" x14ac:dyDescent="0.35">
      <c r="A27" t="s">
        <v>54</v>
      </c>
      <c r="B27" t="s">
        <v>19</v>
      </c>
      <c r="C27">
        <v>1</v>
      </c>
      <c r="D27" t="s">
        <v>6</v>
      </c>
      <c r="G27" t="s">
        <v>15</v>
      </c>
      <c r="H27">
        <f>IF(Tableau1[[#This Row],[Type]]="Sur place", 20, 15)</f>
        <v>20</v>
      </c>
      <c r="I27" t="s">
        <v>20</v>
      </c>
      <c r="J27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27" s="2">
        <f t="shared" si="0"/>
        <v>26</v>
      </c>
    </row>
    <row r="28" spans="1:11" x14ac:dyDescent="0.35">
      <c r="A28" t="s">
        <v>56</v>
      </c>
      <c r="B28" t="s">
        <v>19</v>
      </c>
      <c r="C28">
        <v>1</v>
      </c>
      <c r="D28" t="s">
        <v>6</v>
      </c>
      <c r="E28" t="s">
        <v>29</v>
      </c>
      <c r="F28" t="s">
        <v>40</v>
      </c>
      <c r="G28" t="s">
        <v>16</v>
      </c>
      <c r="H28">
        <f>IF(Tableau1[[#This Row],[Type]]="Sur place", 20, 15)</f>
        <v>15</v>
      </c>
      <c r="I28" t="s">
        <v>20</v>
      </c>
      <c r="J28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15</v>
      </c>
      <c r="K28" s="2">
        <f t="shared" si="0"/>
        <v>27</v>
      </c>
    </row>
    <row r="29" spans="1:11" x14ac:dyDescent="0.35">
      <c r="A29" t="s">
        <v>56</v>
      </c>
      <c r="B29" t="s">
        <v>19</v>
      </c>
      <c r="C29">
        <v>1</v>
      </c>
      <c r="D29" t="s">
        <v>6</v>
      </c>
      <c r="E29" t="s">
        <v>29</v>
      </c>
      <c r="F29" t="s">
        <v>40</v>
      </c>
      <c r="G29" t="s">
        <v>16</v>
      </c>
      <c r="H29">
        <f>IF(Tableau1[[#This Row],[Type]]="Sur place", 20, 15)</f>
        <v>15</v>
      </c>
      <c r="I29" t="s">
        <v>20</v>
      </c>
      <c r="J29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15</v>
      </c>
      <c r="K29" s="2">
        <f t="shared" si="0"/>
        <v>28</v>
      </c>
    </row>
    <row r="30" spans="1:11" x14ac:dyDescent="0.35">
      <c r="A30" t="s">
        <v>56</v>
      </c>
      <c r="B30" t="s">
        <v>19</v>
      </c>
      <c r="C30">
        <v>1</v>
      </c>
      <c r="D30" t="s">
        <v>6</v>
      </c>
      <c r="E30" t="s">
        <v>29</v>
      </c>
      <c r="F30" t="s">
        <v>40</v>
      </c>
      <c r="G30" t="s">
        <v>16</v>
      </c>
      <c r="H30">
        <f>IF(Tableau1[[#This Row],[Type]]="Sur place", 20, 15)</f>
        <v>15</v>
      </c>
      <c r="I30" t="s">
        <v>20</v>
      </c>
      <c r="J30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15</v>
      </c>
      <c r="K30" s="2">
        <f t="shared" si="0"/>
        <v>29</v>
      </c>
    </row>
    <row r="31" spans="1:11" x14ac:dyDescent="0.35">
      <c r="A31" t="s">
        <v>57</v>
      </c>
      <c r="B31" t="s">
        <v>19</v>
      </c>
      <c r="C31">
        <v>1</v>
      </c>
      <c r="D31" t="s">
        <v>6</v>
      </c>
      <c r="E31" t="s">
        <v>29</v>
      </c>
      <c r="F31" t="s">
        <v>40</v>
      </c>
      <c r="G31" t="s">
        <v>15</v>
      </c>
      <c r="H31">
        <f>IF(Tableau1[[#This Row],[Type]]="Sur place", 20, 15)</f>
        <v>20</v>
      </c>
      <c r="I31" t="s">
        <v>20</v>
      </c>
      <c r="J31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31" s="2">
        <f t="shared" si="0"/>
        <v>30</v>
      </c>
    </row>
    <row r="32" spans="1:11" x14ac:dyDescent="0.35">
      <c r="A32" t="s">
        <v>58</v>
      </c>
      <c r="B32" t="s">
        <v>18</v>
      </c>
      <c r="C32">
        <v>7</v>
      </c>
      <c r="D32" t="s">
        <v>6</v>
      </c>
      <c r="E32" t="s">
        <v>29</v>
      </c>
      <c r="G32" t="s">
        <v>15</v>
      </c>
      <c r="H32">
        <f>IF(Tableau1[[#This Row],[Type]]="Sur place", 20, 15)</f>
        <v>20</v>
      </c>
      <c r="I32" t="s">
        <v>20</v>
      </c>
      <c r="J3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119</v>
      </c>
      <c r="K32" s="2">
        <f t="shared" si="0"/>
        <v>31</v>
      </c>
    </row>
    <row r="33" spans="1:11" x14ac:dyDescent="0.35">
      <c r="A33" t="s">
        <v>58</v>
      </c>
      <c r="B33" t="s">
        <v>19</v>
      </c>
      <c r="D33" t="s">
        <v>6</v>
      </c>
      <c r="E33" t="s">
        <v>29</v>
      </c>
      <c r="G33" t="s">
        <v>15</v>
      </c>
      <c r="H33">
        <f>IF(Tableau1[[#This Row],[Type]]="Sur place", 20, 15)</f>
        <v>20</v>
      </c>
      <c r="I33" t="s">
        <v>20</v>
      </c>
      <c r="J3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33" s="2">
        <f t="shared" si="0"/>
        <v>32</v>
      </c>
    </row>
    <row r="34" spans="1:11" x14ac:dyDescent="0.35">
      <c r="A34" t="s">
        <v>58</v>
      </c>
      <c r="B34" t="s">
        <v>19</v>
      </c>
      <c r="D34" t="s">
        <v>6</v>
      </c>
      <c r="E34" t="s">
        <v>29</v>
      </c>
      <c r="G34" t="s">
        <v>15</v>
      </c>
      <c r="H34">
        <f>IF(Tableau1[[#This Row],[Type]]="Sur place", 20, 15)</f>
        <v>20</v>
      </c>
      <c r="I34" t="s">
        <v>20</v>
      </c>
      <c r="J34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34" s="2">
        <f t="shared" si="0"/>
        <v>33</v>
      </c>
    </row>
    <row r="35" spans="1:11" x14ac:dyDescent="0.35">
      <c r="A35" t="s">
        <v>58</v>
      </c>
      <c r="B35" t="s">
        <v>19</v>
      </c>
      <c r="D35" t="s">
        <v>8</v>
      </c>
      <c r="E35" t="s">
        <v>29</v>
      </c>
      <c r="G35" t="s">
        <v>15</v>
      </c>
      <c r="H35">
        <f>IF(Tableau1[[#This Row],[Type]]="Sur place", 20, 15)</f>
        <v>20</v>
      </c>
      <c r="I35" t="s">
        <v>20</v>
      </c>
      <c r="J35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35" s="2">
        <f t="shared" si="0"/>
        <v>34</v>
      </c>
    </row>
    <row r="36" spans="1:11" x14ac:dyDescent="0.35">
      <c r="A36" t="s">
        <v>58</v>
      </c>
      <c r="B36" t="s">
        <v>19</v>
      </c>
      <c r="D36" t="s">
        <v>8</v>
      </c>
      <c r="E36" t="s">
        <v>29</v>
      </c>
      <c r="G36" t="s">
        <v>15</v>
      </c>
      <c r="H36">
        <f>IF(Tableau1[[#This Row],[Type]]="Sur place", 20, 15)</f>
        <v>20</v>
      </c>
      <c r="I36" t="s">
        <v>20</v>
      </c>
      <c r="J36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36" s="2">
        <f t="shared" si="0"/>
        <v>35</v>
      </c>
    </row>
    <row r="37" spans="1:11" x14ac:dyDescent="0.35">
      <c r="A37" t="s">
        <v>58</v>
      </c>
      <c r="B37" t="s">
        <v>19</v>
      </c>
      <c r="D37" t="s">
        <v>9</v>
      </c>
      <c r="E37" t="s">
        <v>29</v>
      </c>
      <c r="G37" t="s">
        <v>15</v>
      </c>
      <c r="H37">
        <f>IF(Tableau1[[#This Row],[Type]]="Sur place", 20, 15)</f>
        <v>20</v>
      </c>
      <c r="I37" t="s">
        <v>20</v>
      </c>
      <c r="J37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37" s="2">
        <f t="shared" si="0"/>
        <v>36</v>
      </c>
    </row>
    <row r="38" spans="1:11" x14ac:dyDescent="0.35">
      <c r="A38" t="s">
        <v>58</v>
      </c>
      <c r="B38" t="s">
        <v>19</v>
      </c>
      <c r="D38" t="s">
        <v>9</v>
      </c>
      <c r="E38" t="s">
        <v>29</v>
      </c>
      <c r="G38" t="s">
        <v>15</v>
      </c>
      <c r="H38">
        <f>IF(Tableau1[[#This Row],[Type]]="Sur place", 20, 15)</f>
        <v>20</v>
      </c>
      <c r="I38" t="s">
        <v>20</v>
      </c>
      <c r="J38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38" s="2">
        <f t="shared" si="0"/>
        <v>37</v>
      </c>
    </row>
    <row r="39" spans="1:11" x14ac:dyDescent="0.35">
      <c r="A39" t="s">
        <v>59</v>
      </c>
      <c r="B39" t="s">
        <v>19</v>
      </c>
      <c r="C39">
        <v>1</v>
      </c>
      <c r="D39" t="s">
        <v>6</v>
      </c>
      <c r="F39" t="s">
        <v>40</v>
      </c>
      <c r="G39" t="s">
        <v>15</v>
      </c>
      <c r="H39">
        <f>IF(Tableau1[[#This Row],[Type]]="Sur place", 20, 15)</f>
        <v>20</v>
      </c>
      <c r="I39" t="s">
        <v>20</v>
      </c>
      <c r="J39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39" s="2">
        <f t="shared" si="0"/>
        <v>38</v>
      </c>
    </row>
    <row r="40" spans="1:11" x14ac:dyDescent="0.35">
      <c r="A40" t="s">
        <v>60</v>
      </c>
      <c r="B40" t="s">
        <v>19</v>
      </c>
      <c r="C40">
        <v>1</v>
      </c>
      <c r="D40" t="s">
        <v>6</v>
      </c>
      <c r="F40" t="s">
        <v>40</v>
      </c>
      <c r="G40" t="s">
        <v>15</v>
      </c>
      <c r="H40">
        <f>IF(Tableau1[[#This Row],[Type]]="Sur place", 20, 15)</f>
        <v>20</v>
      </c>
      <c r="I40" t="s">
        <v>20</v>
      </c>
      <c r="J40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40" s="2">
        <f t="shared" si="0"/>
        <v>39</v>
      </c>
    </row>
    <row r="41" spans="1:11" x14ac:dyDescent="0.35">
      <c r="A41" t="s">
        <v>61</v>
      </c>
      <c r="B41" t="s">
        <v>19</v>
      </c>
      <c r="C41">
        <v>1</v>
      </c>
      <c r="D41" t="s">
        <v>6</v>
      </c>
      <c r="E41" t="s">
        <v>29</v>
      </c>
      <c r="G41" t="s">
        <v>15</v>
      </c>
      <c r="H41">
        <f>IF(Tableau1[[#This Row],[Type]]="Sur place", 20, 15)</f>
        <v>20</v>
      </c>
      <c r="I41" t="s">
        <v>20</v>
      </c>
      <c r="J41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41" s="2">
        <f t="shared" si="0"/>
        <v>40</v>
      </c>
    </row>
    <row r="42" spans="1:11" x14ac:dyDescent="0.35">
      <c r="A42" t="s">
        <v>61</v>
      </c>
      <c r="B42" t="s">
        <v>19</v>
      </c>
      <c r="C42">
        <v>1</v>
      </c>
      <c r="D42" t="s">
        <v>6</v>
      </c>
      <c r="E42" t="s">
        <v>29</v>
      </c>
      <c r="G42" t="s">
        <v>15</v>
      </c>
      <c r="H42">
        <f>IF(Tableau1[[#This Row],[Type]]="Sur place", 20, 15)</f>
        <v>20</v>
      </c>
      <c r="I42" t="s">
        <v>20</v>
      </c>
      <c r="J4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42" s="2">
        <f t="shared" si="0"/>
        <v>41</v>
      </c>
    </row>
    <row r="43" spans="1:11" x14ac:dyDescent="0.35">
      <c r="A43" t="s">
        <v>61</v>
      </c>
      <c r="B43" t="s">
        <v>19</v>
      </c>
      <c r="C43">
        <v>1</v>
      </c>
      <c r="D43" t="s">
        <v>6</v>
      </c>
      <c r="E43" t="s">
        <v>11</v>
      </c>
      <c r="G43" t="s">
        <v>15</v>
      </c>
      <c r="H43">
        <f>IF(Tableau1[[#This Row],[Type]]="Sur place", 20, 15)</f>
        <v>20</v>
      </c>
      <c r="I43" t="s">
        <v>20</v>
      </c>
      <c r="J4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43" s="2">
        <f t="shared" si="0"/>
        <v>42</v>
      </c>
    </row>
    <row r="44" spans="1:11" x14ac:dyDescent="0.35">
      <c r="A44" t="s">
        <v>62</v>
      </c>
      <c r="B44" t="s">
        <v>19</v>
      </c>
      <c r="C44">
        <v>1</v>
      </c>
      <c r="D44" t="s">
        <v>7</v>
      </c>
      <c r="E44" t="s">
        <v>29</v>
      </c>
      <c r="G44" t="s">
        <v>16</v>
      </c>
      <c r="H44">
        <f>IF(Tableau1[[#This Row],[Type]]="Sur place", 20, 15)</f>
        <v>15</v>
      </c>
      <c r="I44" t="s">
        <v>20</v>
      </c>
      <c r="J44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15</v>
      </c>
      <c r="K44" s="2">
        <f t="shared" si="0"/>
        <v>43</v>
      </c>
    </row>
    <row r="45" spans="1:11" x14ac:dyDescent="0.35">
      <c r="A45" t="s">
        <v>63</v>
      </c>
      <c r="B45" t="s">
        <v>19</v>
      </c>
      <c r="C45">
        <v>1</v>
      </c>
      <c r="D45" t="s">
        <v>6</v>
      </c>
      <c r="E45" t="s">
        <v>29</v>
      </c>
      <c r="G45" t="s">
        <v>16</v>
      </c>
      <c r="H45">
        <f>IF(Tableau1[[#This Row],[Type]]="Sur place", 20, 15)</f>
        <v>15</v>
      </c>
      <c r="I45" t="s">
        <v>20</v>
      </c>
      <c r="J45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15</v>
      </c>
      <c r="K45" s="2">
        <f t="shared" si="0"/>
        <v>44</v>
      </c>
    </row>
    <row r="46" spans="1:11" x14ac:dyDescent="0.35">
      <c r="A46" t="s">
        <v>64</v>
      </c>
      <c r="B46" t="s">
        <v>19</v>
      </c>
      <c r="C46">
        <v>1</v>
      </c>
      <c r="D46" t="s">
        <v>6</v>
      </c>
      <c r="E46" t="s">
        <v>29</v>
      </c>
      <c r="G46" t="s">
        <v>16</v>
      </c>
      <c r="H46">
        <f>IF(Tableau1[[#This Row],[Type]]="Sur place", 20, 15)</f>
        <v>15</v>
      </c>
      <c r="I46" t="s">
        <v>20</v>
      </c>
      <c r="J46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15</v>
      </c>
      <c r="K46" s="2">
        <f t="shared" si="0"/>
        <v>45</v>
      </c>
    </row>
    <row r="47" spans="1:11" x14ac:dyDescent="0.35">
      <c r="A47" t="s">
        <v>65</v>
      </c>
      <c r="B47" t="s">
        <v>19</v>
      </c>
      <c r="C47">
        <v>1</v>
      </c>
      <c r="D47" t="s">
        <v>8</v>
      </c>
      <c r="E47" t="s">
        <v>29</v>
      </c>
      <c r="F47" t="s">
        <v>40</v>
      </c>
      <c r="G47" t="s">
        <v>15</v>
      </c>
      <c r="H47">
        <f>IF(Tableau1[[#This Row],[Type]]="Sur place", 20, 15)</f>
        <v>20</v>
      </c>
      <c r="I47" t="s">
        <v>20</v>
      </c>
      <c r="J47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47" s="2">
        <f t="shared" si="0"/>
        <v>46</v>
      </c>
    </row>
    <row r="48" spans="1:11" x14ac:dyDescent="0.35">
      <c r="A48" t="s">
        <v>65</v>
      </c>
      <c r="B48" t="s">
        <v>19</v>
      </c>
      <c r="C48">
        <v>1</v>
      </c>
      <c r="D48" t="s">
        <v>8</v>
      </c>
      <c r="E48" t="s">
        <v>29</v>
      </c>
      <c r="F48" t="s">
        <v>40</v>
      </c>
      <c r="G48" t="s">
        <v>15</v>
      </c>
      <c r="H48">
        <f>IF(Tableau1[[#This Row],[Type]]="Sur place", 20, 15)</f>
        <v>20</v>
      </c>
      <c r="I48" t="s">
        <v>20</v>
      </c>
      <c r="J48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48" s="2">
        <f t="shared" si="0"/>
        <v>47</v>
      </c>
    </row>
    <row r="49" spans="1:11" x14ac:dyDescent="0.35">
      <c r="A49" t="s">
        <v>66</v>
      </c>
      <c r="B49" t="s">
        <v>19</v>
      </c>
      <c r="C49">
        <v>1</v>
      </c>
      <c r="D49" t="s">
        <v>6</v>
      </c>
      <c r="E49" t="s">
        <v>29</v>
      </c>
      <c r="G49" t="s">
        <v>15</v>
      </c>
      <c r="H49">
        <f>IF(Tableau1[[#This Row],[Type]]="Sur place", 20, 15)</f>
        <v>20</v>
      </c>
      <c r="I49" t="s">
        <v>20</v>
      </c>
      <c r="J49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49" s="2">
        <f t="shared" si="0"/>
        <v>48</v>
      </c>
    </row>
    <row r="50" spans="1:11" x14ac:dyDescent="0.35">
      <c r="A50" t="s">
        <v>67</v>
      </c>
      <c r="B50" t="s">
        <v>19</v>
      </c>
      <c r="C50">
        <v>1</v>
      </c>
      <c r="D50" t="s">
        <v>9</v>
      </c>
      <c r="E50" t="s">
        <v>29</v>
      </c>
      <c r="F50" t="s">
        <v>40</v>
      </c>
      <c r="G50" t="s">
        <v>15</v>
      </c>
      <c r="H50">
        <f>IF(Tableau1[[#This Row],[Type]]="Sur place", 20, 15)</f>
        <v>20</v>
      </c>
      <c r="I50" t="s">
        <v>20</v>
      </c>
      <c r="J50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50" s="2">
        <f t="shared" si="0"/>
        <v>49</v>
      </c>
    </row>
    <row r="51" spans="1:11" x14ac:dyDescent="0.35">
      <c r="A51" t="s">
        <v>67</v>
      </c>
      <c r="B51" t="s">
        <v>19</v>
      </c>
      <c r="C51">
        <v>1</v>
      </c>
      <c r="D51" t="s">
        <v>6</v>
      </c>
      <c r="E51" t="s">
        <v>11</v>
      </c>
      <c r="F51" t="s">
        <v>40</v>
      </c>
      <c r="G51" t="s">
        <v>15</v>
      </c>
      <c r="H51">
        <f>IF(Tableau1[[#This Row],[Type]]="Sur place", 20, 15)</f>
        <v>20</v>
      </c>
      <c r="I51" t="s">
        <v>20</v>
      </c>
      <c r="J51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51" s="2">
        <f t="shared" si="0"/>
        <v>50</v>
      </c>
    </row>
    <row r="52" spans="1:11" x14ac:dyDescent="0.35">
      <c r="A52" t="s">
        <v>68</v>
      </c>
      <c r="B52" t="s">
        <v>19</v>
      </c>
      <c r="C52">
        <v>1</v>
      </c>
      <c r="D52" t="s">
        <v>7</v>
      </c>
      <c r="E52" t="s">
        <v>11</v>
      </c>
      <c r="G52" t="s">
        <v>15</v>
      </c>
      <c r="H52">
        <f>IF(Tableau1[[#This Row],[Type]]="Sur place", 20, 15)</f>
        <v>20</v>
      </c>
      <c r="I52" t="s">
        <v>20</v>
      </c>
      <c r="J5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52" s="2">
        <f t="shared" si="0"/>
        <v>51</v>
      </c>
    </row>
    <row r="53" spans="1:11" x14ac:dyDescent="0.35">
      <c r="A53" t="s">
        <v>69</v>
      </c>
      <c r="B53" t="s">
        <v>19</v>
      </c>
      <c r="C53">
        <v>1</v>
      </c>
      <c r="D53" t="s">
        <v>8</v>
      </c>
      <c r="E53" t="s">
        <v>11</v>
      </c>
      <c r="G53" t="s">
        <v>15</v>
      </c>
      <c r="H53">
        <f>IF(Tableau1[[#This Row],[Type]]="Sur place", 20, 15)</f>
        <v>20</v>
      </c>
      <c r="I53" t="s">
        <v>20</v>
      </c>
      <c r="J5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53" s="2">
        <f t="shared" si="0"/>
        <v>52</v>
      </c>
    </row>
    <row r="54" spans="1:11" x14ac:dyDescent="0.35">
      <c r="A54" t="s">
        <v>70</v>
      </c>
      <c r="B54" t="s">
        <v>19</v>
      </c>
      <c r="C54">
        <v>1</v>
      </c>
      <c r="G54" t="s">
        <v>15</v>
      </c>
      <c r="H54">
        <f>IF(Tableau1[[#This Row],[Type]]="Sur place", 20, 15)</f>
        <v>20</v>
      </c>
      <c r="I54" t="s">
        <v>20</v>
      </c>
      <c r="J54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54" s="2">
        <f t="shared" si="0"/>
        <v>53</v>
      </c>
    </row>
    <row r="55" spans="1:11" x14ac:dyDescent="0.35">
      <c r="A55" t="s">
        <v>70</v>
      </c>
      <c r="B55" t="s">
        <v>19</v>
      </c>
      <c r="C55">
        <v>1</v>
      </c>
      <c r="G55" t="s">
        <v>15</v>
      </c>
      <c r="H55">
        <f>IF(Tableau1[[#This Row],[Type]]="Sur place", 20, 15)</f>
        <v>20</v>
      </c>
      <c r="I55" t="s">
        <v>20</v>
      </c>
      <c r="J55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55" s="2">
        <f t="shared" si="0"/>
        <v>54</v>
      </c>
    </row>
    <row r="56" spans="1:11" x14ac:dyDescent="0.35">
      <c r="A56" t="s">
        <v>70</v>
      </c>
      <c r="B56" t="s">
        <v>19</v>
      </c>
      <c r="C56">
        <v>1</v>
      </c>
      <c r="G56" t="s">
        <v>15</v>
      </c>
      <c r="H56">
        <f>IF(Tableau1[[#This Row],[Type]]="Sur place", 20, 15)</f>
        <v>20</v>
      </c>
      <c r="I56" t="s">
        <v>20</v>
      </c>
      <c r="J56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56" s="2">
        <f t="shared" si="0"/>
        <v>55</v>
      </c>
    </row>
    <row r="57" spans="1:11" x14ac:dyDescent="0.35">
      <c r="A57" t="s">
        <v>71</v>
      </c>
      <c r="B57" t="s">
        <v>19</v>
      </c>
      <c r="C57">
        <v>1</v>
      </c>
      <c r="D57" t="s">
        <v>8</v>
      </c>
      <c r="E57" t="s">
        <v>14</v>
      </c>
      <c r="G57" t="s">
        <v>15</v>
      </c>
      <c r="H57">
        <f>IF(Tableau1[[#This Row],[Type]]="Sur place", 20, 15)</f>
        <v>20</v>
      </c>
      <c r="I57" t="s">
        <v>20</v>
      </c>
      <c r="J57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57" s="2">
        <f t="shared" si="0"/>
        <v>56</v>
      </c>
    </row>
    <row r="58" spans="1:11" x14ac:dyDescent="0.35">
      <c r="A58" t="s">
        <v>72</v>
      </c>
      <c r="B58" t="s">
        <v>19</v>
      </c>
      <c r="C58">
        <v>1</v>
      </c>
      <c r="D58" t="s">
        <v>9</v>
      </c>
      <c r="E58" t="s">
        <v>29</v>
      </c>
      <c r="G58" t="s">
        <v>15</v>
      </c>
      <c r="H58">
        <f>IF(Tableau1[[#This Row],[Type]]="Sur place", 20, 15)</f>
        <v>20</v>
      </c>
      <c r="I58" t="s">
        <v>20</v>
      </c>
      <c r="J58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58" s="2">
        <f t="shared" si="0"/>
        <v>57</v>
      </c>
    </row>
    <row r="59" spans="1:11" x14ac:dyDescent="0.35">
      <c r="A59" t="s">
        <v>73</v>
      </c>
      <c r="B59" t="s">
        <v>19</v>
      </c>
      <c r="C59">
        <v>1</v>
      </c>
      <c r="D59" t="s">
        <v>9</v>
      </c>
      <c r="E59" t="s">
        <v>29</v>
      </c>
      <c r="G59" t="s">
        <v>15</v>
      </c>
      <c r="H59">
        <f>IF(Tableau1[[#This Row],[Type]]="Sur place", 20, 15)</f>
        <v>20</v>
      </c>
      <c r="I59" t="s">
        <v>20</v>
      </c>
      <c r="J59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59" s="2">
        <f t="shared" si="0"/>
        <v>58</v>
      </c>
    </row>
    <row r="60" spans="1:11" x14ac:dyDescent="0.35">
      <c r="A60" t="s">
        <v>74</v>
      </c>
      <c r="B60" t="s">
        <v>19</v>
      </c>
      <c r="C60">
        <v>1</v>
      </c>
      <c r="D60" t="s">
        <v>6</v>
      </c>
      <c r="E60" t="s">
        <v>29</v>
      </c>
      <c r="G60" t="s">
        <v>15</v>
      </c>
      <c r="H60">
        <v>10</v>
      </c>
      <c r="I60" t="s">
        <v>20</v>
      </c>
      <c r="J60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10</v>
      </c>
      <c r="K60" s="2">
        <f t="shared" si="0"/>
        <v>59</v>
      </c>
    </row>
    <row r="61" spans="1:11" x14ac:dyDescent="0.35">
      <c r="A61" t="s">
        <v>75</v>
      </c>
      <c r="B61" t="s">
        <v>19</v>
      </c>
      <c r="C61">
        <v>1</v>
      </c>
      <c r="D61" t="s">
        <v>6</v>
      </c>
      <c r="E61" t="s">
        <v>14</v>
      </c>
      <c r="F61" t="s">
        <v>40</v>
      </c>
      <c r="G61" t="s">
        <v>15</v>
      </c>
      <c r="H61">
        <f>IF(Tableau1[[#This Row],[Type]]="Sur place", 20, 15)</f>
        <v>20</v>
      </c>
      <c r="I61" t="s">
        <v>20</v>
      </c>
      <c r="J61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61" s="2">
        <f t="shared" si="0"/>
        <v>60</v>
      </c>
    </row>
    <row r="62" spans="1:11" x14ac:dyDescent="0.35">
      <c r="A62" t="s">
        <v>76</v>
      </c>
      <c r="B62" t="s">
        <v>19</v>
      </c>
      <c r="C62">
        <v>1</v>
      </c>
      <c r="D62" t="s">
        <v>9</v>
      </c>
      <c r="E62" t="s">
        <v>14</v>
      </c>
      <c r="G62" t="s">
        <v>15</v>
      </c>
      <c r="H62">
        <f>IF(Tableau1[[#This Row],[Type]]="Sur place", 20, 15)</f>
        <v>20</v>
      </c>
      <c r="I62" t="s">
        <v>20</v>
      </c>
      <c r="J6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62" s="2">
        <f t="shared" si="0"/>
        <v>61</v>
      </c>
    </row>
    <row r="63" spans="1:11" x14ac:dyDescent="0.35">
      <c r="A63" t="s">
        <v>77</v>
      </c>
      <c r="B63" t="s">
        <v>19</v>
      </c>
      <c r="C63">
        <v>1</v>
      </c>
      <c r="D63" t="s">
        <v>6</v>
      </c>
      <c r="E63" t="s">
        <v>29</v>
      </c>
      <c r="F63" t="s">
        <v>40</v>
      </c>
      <c r="G63" t="s">
        <v>15</v>
      </c>
      <c r="H63">
        <f>IF(Tableau1[[#This Row],[Type]]="Sur place", 20, 15)</f>
        <v>20</v>
      </c>
      <c r="I63" t="s">
        <v>20</v>
      </c>
      <c r="J6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63" s="2">
        <f t="shared" si="0"/>
        <v>62</v>
      </c>
    </row>
    <row r="64" spans="1:11" x14ac:dyDescent="0.35">
      <c r="A64" t="s">
        <v>78</v>
      </c>
      <c r="B64" t="s">
        <v>19</v>
      </c>
      <c r="C64">
        <v>1</v>
      </c>
      <c r="D64" t="s">
        <v>7</v>
      </c>
      <c r="E64" t="s">
        <v>14</v>
      </c>
      <c r="F64" t="s">
        <v>40</v>
      </c>
      <c r="G64" t="s">
        <v>15</v>
      </c>
      <c r="H64">
        <v>0</v>
      </c>
      <c r="I64" t="s">
        <v>20</v>
      </c>
      <c r="J64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64" s="2">
        <f t="shared" si="0"/>
        <v>63</v>
      </c>
    </row>
    <row r="65" spans="1:11" x14ac:dyDescent="0.35">
      <c r="A65" t="s">
        <v>79</v>
      </c>
      <c r="B65" t="s">
        <v>19</v>
      </c>
      <c r="C65">
        <v>1</v>
      </c>
      <c r="D65" t="s">
        <v>6</v>
      </c>
      <c r="E65" t="s">
        <v>29</v>
      </c>
      <c r="F65" t="s">
        <v>40</v>
      </c>
      <c r="G65" t="s">
        <v>15</v>
      </c>
      <c r="H65">
        <v>0</v>
      </c>
      <c r="I65" t="s">
        <v>20</v>
      </c>
      <c r="J65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65" s="2">
        <f t="shared" si="0"/>
        <v>64</v>
      </c>
    </row>
    <row r="66" spans="1:11" x14ac:dyDescent="0.35">
      <c r="A66" t="s">
        <v>80</v>
      </c>
      <c r="B66" t="s">
        <v>19</v>
      </c>
      <c r="C66">
        <v>1</v>
      </c>
      <c r="D66" t="s">
        <v>9</v>
      </c>
      <c r="E66" t="s">
        <v>14</v>
      </c>
      <c r="F66" t="s">
        <v>40</v>
      </c>
      <c r="G66" t="s">
        <v>15</v>
      </c>
      <c r="H66">
        <v>0</v>
      </c>
      <c r="I66" t="s">
        <v>20</v>
      </c>
      <c r="J66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66" s="2">
        <f t="shared" si="0"/>
        <v>65</v>
      </c>
    </row>
    <row r="67" spans="1:11" x14ac:dyDescent="0.35">
      <c r="A67" t="s">
        <v>81</v>
      </c>
      <c r="B67" t="s">
        <v>19</v>
      </c>
      <c r="C67">
        <v>1</v>
      </c>
      <c r="D67" t="s">
        <v>7</v>
      </c>
      <c r="E67" t="s">
        <v>29</v>
      </c>
      <c r="G67" t="s">
        <v>15</v>
      </c>
      <c r="H67">
        <f>IF(Tableau1[[#This Row],[Type]]="Sur place", 20, 15)</f>
        <v>20</v>
      </c>
      <c r="I67" t="s">
        <v>20</v>
      </c>
      <c r="J67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67" s="2">
        <f t="shared" si="0"/>
        <v>66</v>
      </c>
    </row>
    <row r="68" spans="1:11" x14ac:dyDescent="0.35">
      <c r="A68" t="s">
        <v>82</v>
      </c>
      <c r="B68" t="s">
        <v>19</v>
      </c>
      <c r="C68">
        <v>1</v>
      </c>
      <c r="G68" t="s">
        <v>15</v>
      </c>
      <c r="H68">
        <v>0</v>
      </c>
      <c r="I68" t="s">
        <v>20</v>
      </c>
      <c r="J68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68" s="2">
        <f t="shared" ref="K68:K76" si="1">K67+1</f>
        <v>67</v>
      </c>
    </row>
    <row r="69" spans="1:11" x14ac:dyDescent="0.35">
      <c r="A69" t="s">
        <v>83</v>
      </c>
      <c r="B69" t="s">
        <v>19</v>
      </c>
      <c r="C69">
        <v>1</v>
      </c>
      <c r="G69" t="s">
        <v>15</v>
      </c>
      <c r="H69">
        <v>0</v>
      </c>
      <c r="I69" t="s">
        <v>20</v>
      </c>
      <c r="J69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69" s="2">
        <f t="shared" si="1"/>
        <v>68</v>
      </c>
    </row>
    <row r="70" spans="1:11" x14ac:dyDescent="0.35">
      <c r="A70" t="s">
        <v>84</v>
      </c>
      <c r="B70" t="s">
        <v>19</v>
      </c>
      <c r="C70">
        <v>1</v>
      </c>
      <c r="G70" t="s">
        <v>15</v>
      </c>
      <c r="H70">
        <v>0</v>
      </c>
      <c r="I70" t="s">
        <v>20</v>
      </c>
      <c r="J70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  <c r="K70" s="2">
        <f t="shared" si="1"/>
        <v>69</v>
      </c>
    </row>
    <row r="71" spans="1:11" x14ac:dyDescent="0.35">
      <c r="A71" t="s">
        <v>85</v>
      </c>
      <c r="B71" t="s">
        <v>19</v>
      </c>
      <c r="C71">
        <v>1</v>
      </c>
      <c r="G71" t="s">
        <v>15</v>
      </c>
      <c r="H71">
        <f>IF(Tableau1[[#This Row],[Type]]="Sur place", 20, 15)</f>
        <v>20</v>
      </c>
      <c r="I71" t="s">
        <v>20</v>
      </c>
      <c r="J71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71" s="2">
        <f t="shared" si="1"/>
        <v>70</v>
      </c>
    </row>
    <row r="72" spans="1:11" x14ac:dyDescent="0.35">
      <c r="A72" t="s">
        <v>86</v>
      </c>
      <c r="B72" t="s">
        <v>19</v>
      </c>
      <c r="C72">
        <v>1</v>
      </c>
      <c r="G72" t="s">
        <v>15</v>
      </c>
      <c r="H72">
        <f>IF(Tableau1[[#This Row],[Type]]="Sur place", 20, 15)</f>
        <v>20</v>
      </c>
      <c r="I72" t="s">
        <v>20</v>
      </c>
      <c r="J7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72" s="2">
        <f t="shared" si="1"/>
        <v>71</v>
      </c>
    </row>
    <row r="73" spans="1:11" x14ac:dyDescent="0.35">
      <c r="A73" t="s">
        <v>87</v>
      </c>
      <c r="B73" t="s">
        <v>19</v>
      </c>
      <c r="C73">
        <v>1</v>
      </c>
      <c r="G73" t="s">
        <v>15</v>
      </c>
      <c r="H73">
        <f>IF(Tableau1[[#This Row],[Type]]="Sur place", 20, 15)</f>
        <v>20</v>
      </c>
      <c r="I73" t="s">
        <v>20</v>
      </c>
      <c r="J7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73" s="2">
        <f t="shared" si="1"/>
        <v>72</v>
      </c>
    </row>
    <row r="74" spans="1:11" x14ac:dyDescent="0.35">
      <c r="A74" t="s">
        <v>88</v>
      </c>
      <c r="B74" t="s">
        <v>19</v>
      </c>
      <c r="C74">
        <v>1</v>
      </c>
      <c r="G74" t="s">
        <v>15</v>
      </c>
      <c r="H74">
        <f>IF(Tableau1[[#This Row],[Type]]="Sur place", 20, 15)</f>
        <v>20</v>
      </c>
      <c r="I74" t="s">
        <v>20</v>
      </c>
      <c r="J74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74" s="2">
        <f t="shared" si="1"/>
        <v>73</v>
      </c>
    </row>
    <row r="75" spans="1:11" x14ac:dyDescent="0.35">
      <c r="A75" t="s">
        <v>89</v>
      </c>
      <c r="B75" t="s">
        <v>19</v>
      </c>
      <c r="C75">
        <v>1</v>
      </c>
      <c r="G75" t="s">
        <v>15</v>
      </c>
      <c r="H75">
        <f>IF(Tableau1[[#This Row],[Type]]="Sur place", 20, 15)</f>
        <v>20</v>
      </c>
      <c r="I75" t="s">
        <v>20</v>
      </c>
      <c r="J75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75" s="2">
        <f t="shared" si="1"/>
        <v>74</v>
      </c>
    </row>
    <row r="76" spans="1:11" x14ac:dyDescent="0.35">
      <c r="A76" t="s">
        <v>90</v>
      </c>
      <c r="B76" t="s">
        <v>19</v>
      </c>
      <c r="C76">
        <v>1</v>
      </c>
      <c r="G76" t="s">
        <v>15</v>
      </c>
      <c r="H76">
        <f>IF(Tableau1[[#This Row],[Type]]="Sur place", 20, 15)</f>
        <v>20</v>
      </c>
      <c r="I76" t="s">
        <v>20</v>
      </c>
      <c r="J76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20</v>
      </c>
      <c r="K76" s="2">
        <f t="shared" si="1"/>
        <v>75</v>
      </c>
    </row>
    <row r="77" spans="1:11" hidden="1" x14ac:dyDescent="0.35">
      <c r="H77">
        <f>IF(Tableau1[[#This Row],[Type]]="Sur place", 20, 15)</f>
        <v>15</v>
      </c>
      <c r="I77" t="s">
        <v>20</v>
      </c>
      <c r="J77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78" spans="1:11" hidden="1" x14ac:dyDescent="0.35">
      <c r="H78">
        <f>IF(Tableau1[[#This Row],[Type]]="Sur place", 20, 15)</f>
        <v>15</v>
      </c>
      <c r="I78" t="s">
        <v>20</v>
      </c>
      <c r="J78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79" spans="1:11" hidden="1" x14ac:dyDescent="0.35">
      <c r="H79">
        <f>IF(Tableau1[[#This Row],[Type]]="Sur place", 20, 15)</f>
        <v>15</v>
      </c>
      <c r="I79" t="s">
        <v>20</v>
      </c>
      <c r="J79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80" spans="1:11" hidden="1" x14ac:dyDescent="0.35">
      <c r="H80">
        <f>IF(Tableau1[[#This Row],[Type]]="Sur place", 20, 15)</f>
        <v>15</v>
      </c>
      <c r="I80" t="s">
        <v>20</v>
      </c>
      <c r="J80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81" spans="8:10" hidden="1" x14ac:dyDescent="0.35">
      <c r="H81">
        <f>IF(Tableau1[[#This Row],[Type]]="Sur place", 20, 15)</f>
        <v>15</v>
      </c>
      <c r="I81" t="s">
        <v>20</v>
      </c>
      <c r="J81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82" spans="8:10" hidden="1" x14ac:dyDescent="0.35">
      <c r="H82">
        <f>IF(Tableau1[[#This Row],[Type]]="Sur place", 20, 15)</f>
        <v>15</v>
      </c>
      <c r="I82" t="s">
        <v>20</v>
      </c>
      <c r="J8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83" spans="8:10" hidden="1" x14ac:dyDescent="0.35">
      <c r="H83">
        <f>IF(Tableau1[[#This Row],[Type]]="Sur place", 20, 15)</f>
        <v>15</v>
      </c>
      <c r="I83" t="s">
        <v>20</v>
      </c>
      <c r="J8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84" spans="8:10" hidden="1" x14ac:dyDescent="0.35">
      <c r="H84">
        <f>IF(Tableau1[[#This Row],[Type]]="Sur place", 20, 15)</f>
        <v>15</v>
      </c>
      <c r="I84" t="s">
        <v>20</v>
      </c>
      <c r="J84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85" spans="8:10" hidden="1" x14ac:dyDescent="0.35">
      <c r="H85">
        <f>IF(Tableau1[[#This Row],[Type]]="Sur place", 20, 15)</f>
        <v>15</v>
      </c>
      <c r="I85" t="s">
        <v>20</v>
      </c>
      <c r="J85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86" spans="8:10" hidden="1" x14ac:dyDescent="0.35">
      <c r="H86">
        <f>IF(Tableau1[[#This Row],[Type]]="Sur place", 20, 15)</f>
        <v>15</v>
      </c>
      <c r="I86" t="s">
        <v>20</v>
      </c>
      <c r="J86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87" spans="8:10" hidden="1" x14ac:dyDescent="0.35">
      <c r="H87">
        <f>IF(Tableau1[[#This Row],[Type]]="Sur place", 20, 15)</f>
        <v>15</v>
      </c>
      <c r="I87" t="s">
        <v>20</v>
      </c>
      <c r="J87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88" spans="8:10" hidden="1" x14ac:dyDescent="0.35">
      <c r="H88">
        <f>IF(Tableau1[[#This Row],[Type]]="Sur place", 20, 15)</f>
        <v>15</v>
      </c>
      <c r="I88" t="s">
        <v>20</v>
      </c>
      <c r="J88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89" spans="8:10" hidden="1" x14ac:dyDescent="0.35">
      <c r="H89">
        <f>IF(Tableau1[[#This Row],[Type]]="Sur place", 20, 15)</f>
        <v>15</v>
      </c>
      <c r="I89" t="s">
        <v>20</v>
      </c>
      <c r="J89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90" spans="8:10" hidden="1" x14ac:dyDescent="0.35">
      <c r="H90">
        <f>IF(Tableau1[[#This Row],[Type]]="Sur place", 20, 15)</f>
        <v>15</v>
      </c>
      <c r="I90" t="s">
        <v>20</v>
      </c>
      <c r="J90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91" spans="8:10" hidden="1" x14ac:dyDescent="0.35">
      <c r="H91">
        <f>IF(Tableau1[[#This Row],[Type]]="Sur place", 20, 15)</f>
        <v>15</v>
      </c>
      <c r="I91" t="s">
        <v>20</v>
      </c>
      <c r="J91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92" spans="8:10" hidden="1" x14ac:dyDescent="0.35">
      <c r="H92">
        <f>IF(Tableau1[[#This Row],[Type]]="Sur place", 20, 15)</f>
        <v>15</v>
      </c>
      <c r="I92" t="s">
        <v>20</v>
      </c>
      <c r="J9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93" spans="8:10" hidden="1" x14ac:dyDescent="0.35">
      <c r="H93">
        <f>IF(Tableau1[[#This Row],[Type]]="Sur place", 20, 15)</f>
        <v>15</v>
      </c>
      <c r="I93" t="s">
        <v>20</v>
      </c>
      <c r="J9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94" spans="8:10" hidden="1" x14ac:dyDescent="0.35">
      <c r="H94">
        <f>IF(Tableau1[[#This Row],[Type]]="Sur place", 20, 15)</f>
        <v>15</v>
      </c>
      <c r="I94" t="s">
        <v>20</v>
      </c>
      <c r="J94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95" spans="8:10" hidden="1" x14ac:dyDescent="0.35">
      <c r="H95">
        <f>IF(Tableau1[[#This Row],[Type]]="Sur place", 20, 15)</f>
        <v>15</v>
      </c>
      <c r="I95" t="s">
        <v>20</v>
      </c>
      <c r="J95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96" spans="8:10" hidden="1" x14ac:dyDescent="0.35">
      <c r="H96">
        <f>IF(Tableau1[[#This Row],[Type]]="Sur place", 20, 15)</f>
        <v>15</v>
      </c>
      <c r="I96" t="s">
        <v>20</v>
      </c>
      <c r="J96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97" spans="8:10" hidden="1" x14ac:dyDescent="0.35">
      <c r="H97">
        <f>IF(Tableau1[[#This Row],[Type]]="Sur place", 20, 15)</f>
        <v>15</v>
      </c>
      <c r="I97" t="s">
        <v>20</v>
      </c>
      <c r="J97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98" spans="8:10" hidden="1" x14ac:dyDescent="0.35">
      <c r="H98">
        <f>IF(Tableau1[[#This Row],[Type]]="Sur place", 20, 15)</f>
        <v>15</v>
      </c>
      <c r="I98" t="s">
        <v>20</v>
      </c>
      <c r="J98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99" spans="8:10" hidden="1" x14ac:dyDescent="0.35">
      <c r="H99">
        <f>IF(Tableau1[[#This Row],[Type]]="Sur place", 20, 15)</f>
        <v>15</v>
      </c>
      <c r="I99" t="s">
        <v>20</v>
      </c>
      <c r="J99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00" spans="8:10" hidden="1" x14ac:dyDescent="0.35">
      <c r="H100">
        <f>IF(Tableau1[[#This Row],[Type]]="Sur place", 20, 15)</f>
        <v>15</v>
      </c>
      <c r="I100" t="s">
        <v>20</v>
      </c>
      <c r="J100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01" spans="8:10" hidden="1" x14ac:dyDescent="0.35">
      <c r="H101">
        <f>IF(Tableau1[[#This Row],[Type]]="Sur place", 20, 15)</f>
        <v>15</v>
      </c>
      <c r="I101" t="s">
        <v>20</v>
      </c>
      <c r="J101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02" spans="8:10" hidden="1" x14ac:dyDescent="0.35">
      <c r="H102">
        <f>IF(Tableau1[[#This Row],[Type]]="Sur place", 20, 15)</f>
        <v>15</v>
      </c>
      <c r="I102" t="s">
        <v>20</v>
      </c>
      <c r="J10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03" spans="8:10" hidden="1" x14ac:dyDescent="0.35">
      <c r="H103">
        <f>IF(Tableau1[[#This Row],[Type]]="Sur place", 20, 15)</f>
        <v>15</v>
      </c>
      <c r="I103" t="s">
        <v>20</v>
      </c>
      <c r="J10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04" spans="8:10" hidden="1" x14ac:dyDescent="0.35">
      <c r="H104">
        <f>IF(Tableau1[[#This Row],[Type]]="Sur place", 20, 15)</f>
        <v>15</v>
      </c>
      <c r="I104" t="s">
        <v>20</v>
      </c>
      <c r="J104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05" spans="8:10" hidden="1" x14ac:dyDescent="0.35">
      <c r="H105">
        <f>IF(Tableau1[[#This Row],[Type]]="Sur place", 20, 15)</f>
        <v>15</v>
      </c>
      <c r="I105" t="s">
        <v>20</v>
      </c>
      <c r="J105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06" spans="8:10" hidden="1" x14ac:dyDescent="0.35">
      <c r="H106">
        <f>IF(Tableau1[[#This Row],[Type]]="Sur place", 20, 15)</f>
        <v>15</v>
      </c>
      <c r="I106" t="s">
        <v>20</v>
      </c>
      <c r="J106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07" spans="8:10" hidden="1" x14ac:dyDescent="0.35">
      <c r="H107">
        <f>IF(Tableau1[[#This Row],[Type]]="Sur place", 20, 15)</f>
        <v>15</v>
      </c>
      <c r="I107" t="s">
        <v>20</v>
      </c>
      <c r="J107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08" spans="8:10" hidden="1" x14ac:dyDescent="0.35">
      <c r="H108">
        <f>IF(Tableau1[[#This Row],[Type]]="Sur place", 20, 15)</f>
        <v>15</v>
      </c>
      <c r="I108" t="s">
        <v>20</v>
      </c>
      <c r="J108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09" spans="8:10" hidden="1" x14ac:dyDescent="0.35">
      <c r="H109">
        <f>IF(Tableau1[[#This Row],[Type]]="Sur place", 20, 15)</f>
        <v>15</v>
      </c>
      <c r="I109" t="s">
        <v>20</v>
      </c>
      <c r="J109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10" spans="8:10" hidden="1" x14ac:dyDescent="0.35">
      <c r="H110">
        <f>IF(Tableau1[[#This Row],[Type]]="Sur place", 20, 15)</f>
        <v>15</v>
      </c>
      <c r="I110" t="s">
        <v>20</v>
      </c>
      <c r="J110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11" spans="8:10" hidden="1" x14ac:dyDescent="0.35">
      <c r="H111">
        <f>IF(Tableau1[[#This Row],[Type]]="Sur place", 20, 15)</f>
        <v>15</v>
      </c>
      <c r="I111" t="s">
        <v>20</v>
      </c>
      <c r="J111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12" spans="8:10" hidden="1" x14ac:dyDescent="0.35">
      <c r="H112">
        <f>IF(Tableau1[[#This Row],[Type]]="Sur place", 20, 15)</f>
        <v>15</v>
      </c>
      <c r="I112" t="s">
        <v>20</v>
      </c>
      <c r="J112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13" spans="1:10" hidden="1" x14ac:dyDescent="0.35">
      <c r="H113">
        <f>IF(Tableau1[[#This Row],[Type]]="Sur place", 20, 15)</f>
        <v>15</v>
      </c>
      <c r="I113" t="s">
        <v>20</v>
      </c>
      <c r="J113" s="1">
        <f>IF(
AND(Tableau1[[#This Row],[Forfait]]="famille",Tableau1[[#This Row],[Type]]="Sur place",Tableau1[[#This Row],[Nb personnes]]&gt;=5),
Tableau1[[#This Row],[Prix]]*Tableau1[[#This Row],[Nb personnes]]*0.85,
IF( AND(Tableau1[[#This Row],[Forfait]]="famille",Tableau1[[#This Row],[Type]]="A emporter",Tableau1[[#This Row],[Nb personnes]]&gt;=5),Tableau1[[#This Row],[Nb personnes]]*Tableau1[[#This Row],[Prix]]*0.85,Tableau1[[#This Row],[Nb personnes]]*Tableau1[[#This Row],[Prix]]))</f>
        <v>0</v>
      </c>
    </row>
    <row r="114" spans="1:10" x14ac:dyDescent="0.35">
      <c r="A114" t="s">
        <v>30</v>
      </c>
      <c r="C114">
        <f>SUBTOTAL(109,Tableau1[Nb personnes])</f>
        <v>83</v>
      </c>
      <c r="J114" s="1">
        <f>SUBTOTAL(109,Tableau1[Tarif])</f>
        <v>1424</v>
      </c>
    </row>
    <row r="118" spans="1:10" x14ac:dyDescent="0.35">
      <c r="A118" s="3"/>
      <c r="B118" s="3" t="s">
        <v>95</v>
      </c>
    </row>
    <row r="119" spans="1:10" x14ac:dyDescent="0.35">
      <c r="B119" t="s">
        <v>6</v>
      </c>
      <c r="C119" t="s">
        <v>9</v>
      </c>
      <c r="D119" t="s">
        <v>8</v>
      </c>
      <c r="E119" t="s">
        <v>7</v>
      </c>
      <c r="F119" t="s">
        <v>92</v>
      </c>
      <c r="G119" t="s">
        <v>93</v>
      </c>
    </row>
    <row r="120" spans="1:10" x14ac:dyDescent="0.35">
      <c r="A120" t="s">
        <v>94</v>
      </c>
      <c r="B120" s="4">
        <v>42</v>
      </c>
      <c r="C120" s="4">
        <v>10</v>
      </c>
      <c r="D120" s="4">
        <v>13</v>
      </c>
      <c r="E120" s="4">
        <v>6</v>
      </c>
      <c r="F120" s="4">
        <v>12</v>
      </c>
      <c r="G120" s="4">
        <v>83</v>
      </c>
    </row>
    <row r="123" spans="1:10" x14ac:dyDescent="0.35">
      <c r="A123" s="3"/>
      <c r="B123" s="3" t="s">
        <v>95</v>
      </c>
    </row>
    <row r="124" spans="1:10" x14ac:dyDescent="0.35">
      <c r="B124" t="s">
        <v>11</v>
      </c>
      <c r="C124" t="s">
        <v>14</v>
      </c>
      <c r="D124" t="s">
        <v>29</v>
      </c>
      <c r="E124" t="s">
        <v>92</v>
      </c>
      <c r="F124" t="s">
        <v>93</v>
      </c>
    </row>
    <row r="125" spans="1:10" x14ac:dyDescent="0.35">
      <c r="A125" t="s">
        <v>94</v>
      </c>
      <c r="B125" s="4">
        <v>6</v>
      </c>
      <c r="C125" s="4">
        <v>16</v>
      </c>
      <c r="D125" s="4">
        <v>41</v>
      </c>
      <c r="E125" s="4">
        <v>20</v>
      </c>
      <c r="F125" s="4">
        <v>83</v>
      </c>
    </row>
    <row r="129" spans="1:4" x14ac:dyDescent="0.35">
      <c r="A129" s="3"/>
      <c r="B129" s="3" t="s">
        <v>95</v>
      </c>
    </row>
    <row r="130" spans="1:4" x14ac:dyDescent="0.35">
      <c r="B130" t="s">
        <v>40</v>
      </c>
      <c r="C130" t="s">
        <v>92</v>
      </c>
      <c r="D130" t="s">
        <v>93</v>
      </c>
    </row>
    <row r="131" spans="1:4" x14ac:dyDescent="0.35">
      <c r="A131" t="s">
        <v>94</v>
      </c>
      <c r="B131" s="4">
        <v>18</v>
      </c>
      <c r="C131" s="4">
        <v>65</v>
      </c>
      <c r="D131" s="4">
        <v>83</v>
      </c>
    </row>
    <row r="133" spans="1:4" x14ac:dyDescent="0.35">
      <c r="A133" s="3"/>
      <c r="B133" s="3" t="s">
        <v>95</v>
      </c>
    </row>
    <row r="134" spans="1:4" x14ac:dyDescent="0.35">
      <c r="B134" t="s">
        <v>16</v>
      </c>
      <c r="C134" t="s">
        <v>15</v>
      </c>
      <c r="D134" t="s">
        <v>93</v>
      </c>
    </row>
    <row r="135" spans="1:4" x14ac:dyDescent="0.35">
      <c r="A135" t="s">
        <v>94</v>
      </c>
      <c r="B135" s="4">
        <v>10</v>
      </c>
      <c r="C135" s="4">
        <v>73</v>
      </c>
      <c r="D135" s="4">
        <v>83</v>
      </c>
    </row>
    <row r="139" spans="1:4" x14ac:dyDescent="0.35">
      <c r="A139" s="3"/>
      <c r="B139" s="3" t="s">
        <v>95</v>
      </c>
    </row>
    <row r="140" spans="1:4" x14ac:dyDescent="0.35">
      <c r="B140" t="s">
        <v>18</v>
      </c>
      <c r="C140" t="s">
        <v>19</v>
      </c>
      <c r="D140" t="s">
        <v>93</v>
      </c>
    </row>
    <row r="141" spans="1:4" x14ac:dyDescent="0.35">
      <c r="A141" t="s">
        <v>94</v>
      </c>
      <c r="B141" s="4">
        <v>22</v>
      </c>
      <c r="C141" s="4">
        <v>61</v>
      </c>
      <c r="D141" s="4">
        <v>83</v>
      </c>
    </row>
  </sheetData>
  <dataValidations count="7">
    <dataValidation type="list" allowBlank="1" showInputMessage="1" showErrorMessage="1" sqref="B2:B113" xr:uid="{F3FBE2CC-69B0-4B40-8161-F7DEBA103ADF}">
      <formula1>forfait</formula1>
    </dataValidation>
    <dataValidation type="list" allowBlank="1" showInputMessage="1" showErrorMessage="1" sqref="D2:D113" xr:uid="{C51C6A66-634B-4D98-9843-6C0F3A4D51D1}">
      <formula1>viande</formula1>
    </dataValidation>
    <dataValidation type="list" allowBlank="1" showInputMessage="1" showErrorMessage="1" sqref="E2:E113" xr:uid="{20092F6E-59F0-446C-B33A-312875F1E8F2}">
      <formula1>accomp</formula1>
    </dataValidation>
    <dataValidation type="list" allowBlank="1" showInputMessage="1" showErrorMessage="1" sqref="G2:G113" xr:uid="{ECD2B30C-6B63-4A42-AE88-B19DB9EC1A47}">
      <formula1>type</formula1>
    </dataValidation>
    <dataValidation type="list" allowBlank="1" showInputMessage="1" showErrorMessage="1" sqref="I2:I113" xr:uid="{99DD0203-83E7-413B-B666-09C9DC92A764}">
      <formula1>paiement</formula1>
    </dataValidation>
    <dataValidation type="whole" allowBlank="1" showInputMessage="1" showErrorMessage="1" sqref="C2:C113" xr:uid="{4B63D447-CBA1-45DD-99D8-495F5CCFCBA6}">
      <formula1>1</formula1>
      <formula2>15</formula2>
    </dataValidation>
    <dataValidation type="list" allowBlank="1" showInputMessage="1" showErrorMessage="1" sqref="F2:F113" xr:uid="{CA627571-21DA-4B69-8553-2DFE331CCDC6}">
      <formula1>legume</formula1>
    </dataValidation>
  </dataValidations>
  <pageMargins left="0.25" right="0.25" top="0.75" bottom="0.75" header="0.3" footer="0.3"/>
  <pageSetup paperSize="9" scale="72" fitToHeight="0" orientation="portrait" r:id="rId6"/>
  <legacyDrawing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B641-E3A1-4BA9-A497-64CDBD06DB27}">
  <dimension ref="A1:G24"/>
  <sheetViews>
    <sheetView topLeftCell="A10" workbookViewId="0">
      <selection sqref="A1:G24"/>
    </sheetView>
  </sheetViews>
  <sheetFormatPr baseColWidth="10" defaultRowHeight="14.5" x14ac:dyDescent="0.35"/>
  <cols>
    <col min="1" max="1" width="21.6328125" bestFit="1" customWidth="1"/>
    <col min="2" max="2" width="22.1796875" bestFit="1" customWidth="1"/>
    <col min="3" max="3" width="19.90625" bestFit="1" customWidth="1"/>
    <col min="4" max="4" width="13.1796875" bestFit="1" customWidth="1"/>
    <col min="5" max="5" width="13.36328125" bestFit="1" customWidth="1"/>
    <col min="6" max="7" width="11.453125" bestFit="1" customWidth="1"/>
  </cols>
  <sheetData>
    <row r="1" spans="1:7" x14ac:dyDescent="0.35">
      <c r="B1" s="3" t="s">
        <v>95</v>
      </c>
    </row>
    <row r="2" spans="1:7" x14ac:dyDescent="0.35">
      <c r="B2" t="s">
        <v>6</v>
      </c>
      <c r="C2" t="s">
        <v>9</v>
      </c>
      <c r="D2" t="s">
        <v>8</v>
      </c>
      <c r="E2" t="s">
        <v>7</v>
      </c>
      <c r="F2" t="s">
        <v>92</v>
      </c>
      <c r="G2" t="s">
        <v>93</v>
      </c>
    </row>
    <row r="3" spans="1:7" x14ac:dyDescent="0.35">
      <c r="A3" t="s">
        <v>94</v>
      </c>
      <c r="B3" s="4">
        <v>42</v>
      </c>
      <c r="C3" s="4">
        <v>10</v>
      </c>
      <c r="D3" s="4">
        <v>13</v>
      </c>
      <c r="E3" s="4">
        <v>6</v>
      </c>
      <c r="F3" s="4">
        <v>12</v>
      </c>
      <c r="G3" s="4">
        <v>83</v>
      </c>
    </row>
    <row r="6" spans="1:7" x14ac:dyDescent="0.35">
      <c r="B6" s="3" t="s">
        <v>95</v>
      </c>
    </row>
    <row r="7" spans="1:7" x14ac:dyDescent="0.35">
      <c r="B7" t="s">
        <v>11</v>
      </c>
      <c r="C7" t="s">
        <v>14</v>
      </c>
      <c r="D7" t="s">
        <v>29</v>
      </c>
      <c r="E7" t="s">
        <v>92</v>
      </c>
      <c r="F7" t="s">
        <v>93</v>
      </c>
    </row>
    <row r="8" spans="1:7" x14ac:dyDescent="0.35">
      <c r="A8" t="s">
        <v>94</v>
      </c>
      <c r="B8" s="4">
        <v>6</v>
      </c>
      <c r="C8" s="4">
        <v>16</v>
      </c>
      <c r="D8" s="4">
        <v>41</v>
      </c>
      <c r="E8" s="4">
        <v>20</v>
      </c>
      <c r="F8" s="4">
        <v>83</v>
      </c>
    </row>
    <row r="12" spans="1:7" x14ac:dyDescent="0.35">
      <c r="B12" s="3" t="s">
        <v>95</v>
      </c>
    </row>
    <row r="13" spans="1:7" x14ac:dyDescent="0.35">
      <c r="B13" t="s">
        <v>40</v>
      </c>
      <c r="C13" t="s">
        <v>92</v>
      </c>
      <c r="D13" t="s">
        <v>93</v>
      </c>
    </row>
    <row r="14" spans="1:7" x14ac:dyDescent="0.35">
      <c r="A14" t="s">
        <v>94</v>
      </c>
      <c r="B14" s="4">
        <v>18</v>
      </c>
      <c r="C14" s="4">
        <v>65</v>
      </c>
      <c r="D14" s="4">
        <v>83</v>
      </c>
    </row>
    <row r="16" spans="1:7" x14ac:dyDescent="0.35">
      <c r="B16" s="3" t="s">
        <v>95</v>
      </c>
    </row>
    <row r="17" spans="1:4" x14ac:dyDescent="0.35">
      <c r="B17" t="s">
        <v>16</v>
      </c>
      <c r="C17" t="s">
        <v>15</v>
      </c>
      <c r="D17" t="s">
        <v>93</v>
      </c>
    </row>
    <row r="18" spans="1:4" x14ac:dyDescent="0.35">
      <c r="A18" t="s">
        <v>94</v>
      </c>
      <c r="B18" s="4">
        <v>10</v>
      </c>
      <c r="C18" s="4">
        <v>73</v>
      </c>
      <c r="D18" s="4">
        <v>83</v>
      </c>
    </row>
    <row r="22" spans="1:4" x14ac:dyDescent="0.35">
      <c r="B22" s="3" t="s">
        <v>95</v>
      </c>
    </row>
    <row r="23" spans="1:4" x14ac:dyDescent="0.35">
      <c r="B23" t="s">
        <v>18</v>
      </c>
      <c r="C23" t="s">
        <v>19</v>
      </c>
      <c r="D23" t="s">
        <v>93</v>
      </c>
    </row>
    <row r="24" spans="1:4" x14ac:dyDescent="0.35">
      <c r="A24" t="s">
        <v>94</v>
      </c>
      <c r="B24" s="4">
        <v>22</v>
      </c>
      <c r="C24" s="4">
        <v>61</v>
      </c>
      <c r="D24" s="4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7F4-26BA-4A7E-B1F8-64A9B2BFC15E}">
  <dimension ref="A2:K7"/>
  <sheetViews>
    <sheetView workbookViewId="0">
      <selection activeCell="K2" sqref="K2:K4"/>
    </sheetView>
  </sheetViews>
  <sheetFormatPr baseColWidth="10" defaultRowHeight="14.5" x14ac:dyDescent="0.35"/>
  <cols>
    <col min="1" max="1" width="19.453125" bestFit="1" customWidth="1"/>
    <col min="3" max="3" width="17.54296875" customWidth="1"/>
    <col min="9" max="9" width="20.81640625" bestFit="1" customWidth="1"/>
  </cols>
  <sheetData>
    <row r="2" spans="1:11" x14ac:dyDescent="0.35">
      <c r="A2" t="s">
        <v>10</v>
      </c>
      <c r="C2" t="s">
        <v>2</v>
      </c>
      <c r="E2" t="s">
        <v>3</v>
      </c>
      <c r="G2" t="s">
        <v>17</v>
      </c>
      <c r="I2" t="s">
        <v>4</v>
      </c>
      <c r="K2" t="s">
        <v>41</v>
      </c>
    </row>
    <row r="3" spans="1:11" x14ac:dyDescent="0.35">
      <c r="A3" t="s">
        <v>6</v>
      </c>
      <c r="C3" t="s">
        <v>14</v>
      </c>
      <c r="E3" t="s">
        <v>15</v>
      </c>
      <c r="G3" t="s">
        <v>18</v>
      </c>
      <c r="I3" t="s">
        <v>22</v>
      </c>
      <c r="K3" t="s">
        <v>12</v>
      </c>
    </row>
    <row r="4" spans="1:11" x14ac:dyDescent="0.35">
      <c r="A4" t="s">
        <v>7</v>
      </c>
      <c r="C4" t="s">
        <v>11</v>
      </c>
      <c r="E4" t="s">
        <v>16</v>
      </c>
      <c r="G4" t="s">
        <v>19</v>
      </c>
      <c r="I4" t="s">
        <v>20</v>
      </c>
      <c r="K4" t="s">
        <v>40</v>
      </c>
    </row>
    <row r="5" spans="1:11" x14ac:dyDescent="0.35">
      <c r="A5" t="s">
        <v>8</v>
      </c>
      <c r="C5" t="s">
        <v>12</v>
      </c>
      <c r="I5" t="s">
        <v>21</v>
      </c>
    </row>
    <row r="6" spans="1:11" x14ac:dyDescent="0.35">
      <c r="A6" t="s">
        <v>9</v>
      </c>
      <c r="C6" t="s">
        <v>13</v>
      </c>
    </row>
    <row r="7" spans="1:11" x14ac:dyDescent="0.35">
      <c r="C7" t="s">
        <v>29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6</vt:i4>
      </vt:variant>
    </vt:vector>
  </HeadingPairs>
  <TitlesOfParts>
    <vt:vector size="9" baseType="lpstr">
      <vt:lpstr>inscrits</vt:lpstr>
      <vt:lpstr>Feuil3</vt:lpstr>
      <vt:lpstr>paramètres</vt:lpstr>
      <vt:lpstr>accomp</vt:lpstr>
      <vt:lpstr>forfait</vt:lpstr>
      <vt:lpstr>legume</vt:lpstr>
      <vt:lpstr>paiement</vt:lpstr>
      <vt:lpstr>type</vt:lpstr>
      <vt:lpstr>viande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Beaudelaire Vilmé</dc:creator>
  <cp:lastModifiedBy>Beaudelaire Vilmé</cp:lastModifiedBy>
  <cp:lastPrinted>2026-03-17T03:04:32Z</cp:lastPrinted>
  <dcterms:created xsi:type="dcterms:W3CDTF">2026-03-16T18:11:14Z</dcterms:created>
  <dcterms:modified xsi:type="dcterms:W3CDTF">2026-03-17T03:04:35Z</dcterms:modified>
</cp:coreProperties>
</file>